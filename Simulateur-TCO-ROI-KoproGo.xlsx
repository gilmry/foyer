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ice" sheetId="1" state="visible" r:id="rId3"/>
    <sheet name="Hypotheses" sheetId="2" state="visible" r:id="rId4"/>
    <sheet name="Modele" sheetId="3" state="visible" r:id="rId5"/>
    <sheet name="Graphiques" sheetId="4" state="visible" r:id="rId6"/>
    <sheet name="Scenarios" sheetId="5" state="visible" r:id="rId7"/>
    <sheet name="Sensibilite" sheetId="6" state="visible" r:id="rId8"/>
    <sheet name="Financement" sheetId="7" state="visible" r:id="rId9"/>
    <sheet name="Schema-Empreinte" sheetId="8" state="visible" r:id="rId10"/>
    <sheet name="Compute-Stack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4" authorId="0">
      <text>
        <r>
          <rPr>
            <sz val="10"/>
            <rFont val="Arial"/>
            <family val="2"/>
          </rPr>
          <t xml:space="preserve">Paliers infra publiés par KoproGo pour vérifier le modèle</t>
        </r>
      </text>
    </comment>
  </commentList>
</comments>
</file>

<file path=xl/sharedStrings.xml><?xml version="1.0" encoding="utf-8"?>
<sst xmlns="http://schemas.openxmlformats.org/spreadsheetml/2006/main" count="385" uniqueCount="334">
  <si>
    <t xml:space="preserve">Simulateur prospectif TCO + ROI — cadre Foyer, ancré sur KoproGo</t>
  </si>
  <si>
    <t xml:space="preserve">Ce qu'il fait</t>
  </si>
  <si>
    <t xml:space="preserve">Projette, jalon par jalon, le coût total de possession (fabrication + évolution + maintenance + exploitation) et la valeur (revenu d'abonnement + coût évité) d'une application full-stack stateful, piloté par une trajectoire d'adoption. Il révèle le point de croisement (quand la valeur cumulée dépasse le coût) et les marches de scaling de l'infrastructure.</t>
  </si>
  <si>
    <t xml:space="preserve">La logique en une phrase</t>
  </si>
  <si>
    <t xml:space="preserve">Chaque coût est une boucle de rétroaction regardée en régime permanent : fabrication/évolution = boucles cycle-dev ; maintenance = taux des boucles (dérive, findings, support) ; exploitation = la boucle GitOps qui tourne. Le TCO est l'intégrale des boucles dans le temps, paramétrée par l'adoption.</t>
  </si>
  <si>
    <t xml:space="preserve">Code couleur (convention financière)</t>
  </si>
  <si>
    <t xml:space="preserve">• Bleu = saisie modifiable (hypothèse que vous changez pour vos scénarios)</t>
  </si>
  <si>
    <t xml:space="preserve">• Noir = formule calculée</t>
  </si>
  <si>
    <t xml:space="preserve">• Fond jaune = hypothèse-clé à challenger (les plus sensibles)</t>
  </si>
  <si>
    <t xml:space="preserve">Mesuré vs supposé (foyer de lucidité)</t>
  </si>
  <si>
    <t xml:space="preserve">MESURÉ (KoproGo réel, sourcé) : capacité 2 500 copros/VPS, 287 req/s, storage 0,027 €/copro/mois, prix OVH 2025, et les paliers infra publiés 8/18/29/163 € aux 100/1000/2000/5000 copros — qui servent à VÉRIFIER le modèle (onglet Modele, ligne 'Contrôle').</t>
  </si>
  <si>
    <t xml:space="preserve">SUPPOSÉ (à challenger) : la trajectoire d'adoption (scénario neutre), le nombre de stories par jalon, le ratio de supervision (plafond répondre-de), le coût/tour en tokens, et la cadence calendaire des jalons. Tout est en bleu/jaune, donc falsifiable.</t>
  </si>
  <si>
    <t xml:space="preserve">Comment l'utiliser</t>
  </si>
  <si>
    <t xml:space="preserve">1. Onglet Hypotheses : ajustez les valeurs bleues à votre contexte.  2. Onglet Modele : lisez la trajectoire (les paliers infra se recalculent).  3. Onglet Graphiques : croisement coût/valeur et marche de scaling.</t>
  </si>
  <si>
    <t xml:space="preserve">Limite honnête</t>
  </si>
  <si>
    <t xml:space="preserve">L'infra est solide jusqu'au plafond VPS (le modèle reproduit 8/18/29 € à &lt;1 % près). Au-delà de ~3 000 copros, l'architecture change (K8s multi-région, HA, 3-AZ) : ce palier est calibré sur l'estimation KoproGo (163 € @ 5 000) — un prior à confirmer par tests de charge, pas une mesure. Le runtime exact ne sort que des tests @edge/load.</t>
  </si>
  <si>
    <t xml:space="preserve">HYPOTHÈSES — valeurs bleues modifiables</t>
  </si>
  <si>
    <t xml:space="preserve">MESURÉ — KoproGo réel (sourcé)</t>
  </si>
  <si>
    <t xml:space="preserve">Capacité par nœud VPS</t>
  </si>
  <si>
    <t xml:space="preserve">copros</t>
  </si>
  <si>
    <t xml:space="preserve">Doc COST KoproGo : 2000-3000 conservateur (max 6239)</t>
  </si>
  <si>
    <t xml:space="preserve">Storage par copro / mois</t>
  </si>
  <si>
    <t xml:space="preserve">€</t>
  </si>
  <si>
    <t xml:space="preserve">Doc COST : 200Mo/an, tiered SSD+S3, ~0,027€</t>
  </si>
  <si>
    <t xml:space="preserve">CO₂ par requête</t>
  </si>
  <si>
    <t xml:space="preserve">g</t>
  </si>
  <si>
    <t xml:space="preserve">PERFORMANCE_REPORT KoproGo (287 req/s @1vCPU)</t>
  </si>
  <si>
    <t xml:space="preserve">PRIX OVH 2025 (validés)</t>
  </si>
  <si>
    <t xml:space="preserve">Prix nœud VPS Value / mois</t>
  </si>
  <si>
    <t xml:space="preserve">€ TTC</t>
  </si>
  <si>
    <t xml:space="preserve">OVH Nov 2025, Value 1vCore/2Go/NVMe, TVA 21%</t>
  </si>
  <si>
    <t xml:space="preserve">DNS / mois</t>
  </si>
  <si>
    <t xml:space="preserve">OVH 2025</t>
  </si>
  <si>
    <t xml:space="preserve">Surcoût palier K8s multi-région / mois</t>
  </si>
  <si>
    <t xml:space="preserve">Calibré sur palier 5000≈163€ (à confirmer)</t>
  </si>
  <si>
    <t xml:space="preserve">Seuil bascule HA / K8s</t>
  </si>
  <si>
    <t xml:space="preserve">plafond VPS conservateur (3000 copros)</t>
  </si>
  <si>
    <t xml:space="preserve">Facteur storage 3-AZ au-delà du seuil</t>
  </si>
  <si>
    <t xml:space="preserve">x</t>
  </si>
  <si>
    <t xml:space="preserve">Résilience multi-AZ (0,014 vs 0,007 €/Go)</t>
  </si>
  <si>
    <t xml:space="preserve">MODÈLE D'USAGE &amp; PRIX</t>
  </si>
  <si>
    <t xml:space="preserve">Part copros cloud (consomment l'infra)</t>
  </si>
  <si>
    <t xml:space="preserve">%</t>
  </si>
  <si>
    <t xml:space="preserve">Doc COST : 40% cloud / 60% self-hosted</t>
  </si>
  <si>
    <t xml:space="preserve">Prix abonnement / copro cloud / mois</t>
  </si>
  <si>
    <t xml:space="preserve">Modèle ASBL KoproGo, fixe (baisse par vote AG)</t>
  </si>
  <si>
    <t xml:space="preserve">Uplift add-ons / copro cloud / mois</t>
  </si>
  <si>
    <t xml:space="preserve">AI+2/IoT/Blockchain — neutre par défaut</t>
  </si>
  <si>
    <t xml:space="preserve">FABRICATION — agents IA + superviseur</t>
  </si>
  <si>
    <t xml:space="preserve">Prix tokens input</t>
  </si>
  <si>
    <t xml:space="preserve">€/Mtok</t>
  </si>
  <si>
    <t xml:space="preserve">Tarif fourni</t>
  </si>
  <si>
    <t xml:space="preserve">Prix tokens output</t>
  </si>
  <si>
    <t xml:space="preserve">Tokens input / tour de boucle</t>
  </si>
  <si>
    <t xml:space="preserve">tok</t>
  </si>
  <si>
    <t xml:space="preserve">Prior point 0 (à resserrer par CSI)</t>
  </si>
  <si>
    <t xml:space="preserve">Tokens output / tour de boucle</t>
  </si>
  <si>
    <t xml:space="preserve">Prior point 0</t>
  </si>
  <si>
    <t xml:space="preserve">Tours de boucle / story (moyen)</t>
  </si>
  <si>
    <t xml:space="preserve">tours</t>
  </si>
  <si>
    <t xml:space="preserve">Prior point 0, resserré story après story</t>
  </si>
  <si>
    <t xml:space="preserve">Jours wall-clock / story (mix S/M/L)</t>
  </si>
  <si>
    <t xml:space="preserve">j</t>
  </si>
  <si>
    <t xml:space="preserve">S=0,5 / M=0,75 / L=1 (mix)</t>
  </si>
  <si>
    <t xml:space="preserve">Coût pair junior+senior / jour</t>
  </si>
  <si>
    <t xml:space="preserve">€/j</t>
  </si>
  <si>
    <t xml:space="preserve">1 junior + 1 senior en pair (TJM cumulé)</t>
  </si>
  <si>
    <t xml:space="preserve">Ratio de supervision (agents / pair)</t>
  </si>
  <si>
    <t xml:space="preserve">agents</t>
  </si>
  <si>
    <t xml:space="preserve">Plafond répondre-de : au-delà, on n'en répond plus</t>
  </si>
  <si>
    <t xml:space="preserve">MAINTENANCE</t>
  </si>
  <si>
    <t xml:space="preserve">Maintenance code / an (% du cumul fabriqué)</t>
  </si>
  <si>
    <t xml:space="preserve">%/an</t>
  </si>
  <si>
    <t xml:space="preserve">Heuristique 15-25% ; alt. = taux des boucles</t>
  </si>
  <si>
    <t xml:space="preserve">Tickets support / copro cloud / an</t>
  </si>
  <si>
    <t xml:space="preserve">tickets</t>
  </si>
  <si>
    <t xml:space="preserve">Boucle adoption/support</t>
  </si>
  <si>
    <t xml:space="preserve">Coût / ticket</t>
  </si>
  <si>
    <t xml:space="preserve">Fraction de tour + temps superviseur</t>
  </si>
  <si>
    <t xml:space="preserve">VALEUR — coût évité (social, manifeste)</t>
  </si>
  <si>
    <t xml:space="preserve">Coût évité / copro / an vs proprio</t>
  </si>
  <si>
    <t xml:space="preserve">€/an</t>
  </si>
  <si>
    <t xml:space="preserve">Conservateur (cas KoproGo: 2400€/an possible)</t>
  </si>
  <si>
    <t xml:space="preserve">TRAJECTOIRE PROSPECTIVE — par jalon</t>
  </si>
  <si>
    <t xml:space="preserve">Jalon</t>
  </si>
  <si>
    <t xml:space="preserve">J0</t>
  </si>
  <si>
    <t xml:space="preserve">J1</t>
  </si>
  <si>
    <t xml:space="preserve">J2</t>
  </si>
  <si>
    <t xml:space="preserve">J3</t>
  </si>
  <si>
    <t xml:space="preserve">J4</t>
  </si>
  <si>
    <t xml:space="preserve">J5</t>
  </si>
  <si>
    <t xml:space="preserve">Mois cumulés (cadence)</t>
  </si>
  <si>
    <t xml:space="preserve">Mois dans la période</t>
  </si>
  <si>
    <t xml:space="preserve">Copros (adoption — scénario neutre)</t>
  </si>
  <si>
    <t xml:space="preserve">Capacités nouvelles = stories</t>
  </si>
  <si>
    <t xml:space="preserve">— EXPLOITATION / INFRA (€/mois) —</t>
  </si>
  <si>
    <t xml:space="preserve">Copros cloud</t>
  </si>
  <si>
    <t xml:space="preserve">Nœuds VPS</t>
  </si>
  <si>
    <t xml:space="preserve">Multiplicateur HA</t>
  </si>
  <si>
    <t xml:space="preserve">Compute</t>
  </si>
  <si>
    <t xml:space="preserve">Storage</t>
  </si>
  <si>
    <t xml:space="preserve">Infra totale /mois</t>
  </si>
  <si>
    <t xml:space="preserve">Contrôle : KoproGo publié</t>
  </si>
  <si>
    <t xml:space="preserve">— FABRICATION / ÉVOLUTION (€, capex jalon) —</t>
  </si>
  <si>
    <t xml:space="preserve">Coût / tour (tokens)</t>
  </si>
  <si>
    <t xml:space="preserve">Coût tokens</t>
  </si>
  <si>
    <t xml:space="preserve">Jours wall-clock (/ parallélisme)</t>
  </si>
  <si>
    <t xml:space="preserve">Coût superviseur</t>
  </si>
  <si>
    <t xml:space="preserve">Fabrication /jalon</t>
  </si>
  <si>
    <t xml:space="preserve">— MAINTENANCE (€/mois, opex) —</t>
  </si>
  <si>
    <t xml:space="preserve">Cumul fabriqué</t>
  </si>
  <si>
    <t xml:space="preserve">Maintenance code</t>
  </si>
  <si>
    <t xml:space="preserve">Support (charge adoption)</t>
  </si>
  <si>
    <t xml:space="preserve">Maintenance /mois</t>
  </si>
  <si>
    <t xml:space="preserve">— REVENU &amp; VALEUR (€/mois) —</t>
  </si>
  <si>
    <t xml:space="preserve">Revenu abonnement /mois</t>
  </si>
  <si>
    <t xml:space="preserve">Opex /mois (infra+maint)</t>
  </si>
  <si>
    <t xml:space="preserve">Surplus /mois</t>
  </si>
  <si>
    <t xml:space="preserve">Coût évité /mois (social)</t>
  </si>
  <si>
    <t xml:space="preserve">— CUMULS &amp; ROI —</t>
  </si>
  <si>
    <t xml:space="preserve">Capex cumulé</t>
  </si>
  <si>
    <t xml:space="preserve">Opex cumulé</t>
  </si>
  <si>
    <t xml:space="preserve">Revenu cumulé</t>
  </si>
  <si>
    <t xml:space="preserve">Coût total cumulé</t>
  </si>
  <si>
    <t xml:space="preserve">Surplus cumulé (financier)</t>
  </si>
  <si>
    <t xml:space="preserve">Seuil financier atteint ?</t>
  </si>
  <si>
    <t xml:space="preserve">Valeur sociale cumulée (coût évité)</t>
  </si>
  <si>
    <t xml:space="preserve">ROI social cumulé</t>
  </si>
  <si>
    <t xml:space="preserve">— ARCHITECTURE (tier) —</t>
  </si>
  <si>
    <t xml:space="preserve">Tier sélectionné (← Compute-Stack)</t>
  </si>
  <si>
    <t xml:space="preserve">Tier requis (par échelle)</t>
  </si>
  <si>
    <t xml:space="preserve">Tier effectif (max)</t>
  </si>
  <si>
    <t xml:space="preserve">Si le tier sélectionné &lt; requis, l'échelle force la montée (le coût suit). Choisir un tier supérieur tôt = surcoût visible sans gain.</t>
  </si>
  <si>
    <t xml:space="preserve">SCÉNARIOS D'ADOPTION &amp; CALIBRAGE STORIES</t>
  </si>
  <si>
    <t xml:space="preserve">Scénario actif (1=Pess / 2=Neutre / 3=Opt)</t>
  </si>
  <si>
    <t xml:space="preserve">Trajectoires copros (source: roadmap KoproGo)</t>
  </si>
  <si>
    <t xml:space="preserve">Pessimiste (solo dev + IA)</t>
  </si>
  <si>
    <t xml:space="preserve">Roadmap: An1 50, An2 100, An3 500, An5 2000</t>
  </si>
  <si>
    <t xml:space="preserve">Neutre / réaliste</t>
  </si>
  <si>
    <t xml:space="preserve">Roadmap: T1 50, T3 200, An2 1000, An3 5000</t>
  </si>
  <si>
    <t xml:space="preserve">Optimiste (partenaires+contrib)</t>
  </si>
  <si>
    <t xml:space="preserve">Roadmap: M3 50, M6 500, An1 2000, An2 10000</t>
  </si>
  <si>
    <t xml:space="preserve">→ Copros (scénario actif)</t>
  </si>
  <si>
    <t xml:space="preserve">Calibrage stories (ancré réel KoproGo)</t>
  </si>
  <si>
    <t xml:space="preserve">Endpoints API construits</t>
  </si>
  <si>
    <t xml:space="preserve">README KoproGo (système construit)</t>
  </si>
  <si>
    <t xml:space="preserve">Entités DDD</t>
  </si>
  <si>
    <t xml:space="preserve">Scénarios BDD</t>
  </si>
  <si>
    <t xml:space="preserve">soit 4 tags/story (@happy @negative @edge @security)</t>
  </si>
  <si>
    <t xml:space="preserve">Total stories estimé (= BDD / 4 tags)</t>
  </si>
  <si>
    <t xml:space="preserve">Répartition par jalon (part, somme=100%)</t>
  </si>
  <si>
    <t xml:space="preserve">J0=fondation (59 entités+core) la plus lourde</t>
  </si>
  <si>
    <t xml:space="preserve">→ Stories par jalon (calibré)</t>
  </si>
  <si>
    <t xml:space="preserve">ENVELOPPE — Surplus cumulé par scénario (€)</t>
  </si>
  <si>
    <t xml:space="preserve">Adoption seule varie ; fabrication &amp; cadence = communes (Modele). Cadence pess. réelle plus lente : minorant prudent.</t>
  </si>
  <si>
    <t xml:space="preserve">Pess: infra /mois</t>
  </si>
  <si>
    <t xml:space="preserve">Pess: revenu /mois</t>
  </si>
  <si>
    <t xml:space="preserve">Pess: opex /mois</t>
  </si>
  <si>
    <t xml:space="preserve">Pess: surplus cumulé</t>
  </si>
  <si>
    <t xml:space="preserve">Neutre: infra /mois</t>
  </si>
  <si>
    <t xml:space="preserve">Neutre: revenu /mois</t>
  </si>
  <si>
    <t xml:space="preserve">Neutre: opex /mois</t>
  </si>
  <si>
    <t xml:space="preserve">Neutre: surplus cumulé</t>
  </si>
  <si>
    <t xml:space="preserve">Opt: infra /mois</t>
  </si>
  <si>
    <t xml:space="preserve">Opt: revenu /mois</t>
  </si>
  <si>
    <t xml:space="preserve">Opt: opex /mois</t>
  </si>
  <si>
    <t xml:space="preserve">Opt: surplus cumulé</t>
  </si>
  <si>
    <t xml:space="preserve">CADENCE CALENDAIRE — mois cumulés par scénario</t>
  </si>
  <si>
    <t xml:space="preserve">Durées roadmap KoproGo : pess 4-6 mois/jalon ; opt semaines/jalon</t>
  </si>
  <si>
    <t xml:space="preserve">Pessimiste (mois cumulés)</t>
  </si>
  <si>
    <t xml:space="preserve">Neutre (mois cumulés)</t>
  </si>
  <si>
    <t xml:space="preserve">Optimiste (mois cumulés)</t>
  </si>
  <si>
    <t xml:space="preserve">→ Mois cumulés (scénario actif)</t>
  </si>
  <si>
    <t xml:space="preserve">Pess Δmois</t>
  </si>
  <si>
    <t xml:space="preserve">Neutre Δmois</t>
  </si>
  <si>
    <t xml:space="preserve">Opt Δmois</t>
  </si>
  <si>
    <t xml:space="preserve">ANALYSE DE SENSIBILITÉ (tornado) — surplus cumulé J5</t>
  </si>
  <si>
    <t xml:space="preserve">Instantané  scénario neutre. Base = 78 975 €. Variation ±25% par entrée  autres figées.</t>
  </si>
  <si>
    <t xml:space="preserve">Entrée (±25%)</t>
  </si>
  <si>
    <t xml:space="preserve">Base</t>
  </si>
  <si>
    <t xml:space="preserve">Surplus si bas</t>
  </si>
  <si>
    <t xml:space="preserve">Surplus si haut</t>
  </si>
  <si>
    <t xml:space="preserve">Amplitude</t>
  </si>
  <si>
    <t xml:space="preserve">Tokens output/tour</t>
  </si>
  <si>
    <t xml:space="preserve">Tokens input/tour</t>
  </si>
  <si>
    <t xml:space="preserve">Tours / story</t>
  </si>
  <si>
    <t xml:space="preserve">Surcoût K8s</t>
  </si>
  <si>
    <t xml:space="preserve">Maintenance %/an</t>
  </si>
  <si>
    <t xml:space="preserve">Coût pair / jour</t>
  </si>
  <si>
    <t xml:space="preserve">Jours / story</t>
  </si>
  <si>
    <t xml:space="preserve">Ratio supervision</t>
  </si>
  <si>
    <t xml:space="preserve">Tickets / copro/an</t>
  </si>
  <si>
    <t xml:space="preserve">Ligne de base (surplus J5)</t>
  </si>
  <si>
    <t xml:space="preserve">VOLET SOCIAL — tornado sur le ROI social cumulé J5</t>
  </si>
  <si>
    <t xml:space="preserve">Base ROI social = 1384%. Le coût évité (exclu du surplus financier) domine ici — miroir du volet financier.</t>
  </si>
  <si>
    <t xml:space="preserve">ROI social si bas</t>
  </si>
  <si>
    <t xml:space="preserve">ROI social si haut</t>
  </si>
  <si>
    <t xml:space="preserve">Amplitude (pts)</t>
  </si>
  <si>
    <t xml:space="preserve">Coût évité / copro</t>
  </si>
  <si>
    <t xml:space="preserve">TRAME DE FINANCEMENT — creux de trésorerie à tenir</t>
  </si>
  <si>
    <t xml:space="preserve">Le besoin de financement = le point le plus bas du surplus cumulé : le capital à sécuriser pour survivre jusqu'au croisement.</t>
  </si>
  <si>
    <t xml:space="preserve">Scénario</t>
  </si>
  <si>
    <t xml:space="preserve">Besoin financement max</t>
  </si>
  <si>
    <t xml:space="preserve">Jalon du creux</t>
  </si>
  <si>
    <t xml:space="preserve">Mois du creux</t>
  </si>
  <si>
    <t xml:space="preserve">Jalon de croisement</t>
  </si>
  <si>
    <t xml:space="preserve">Mois croisement</t>
  </si>
  <si>
    <t xml:space="preserve">Pessimiste</t>
  </si>
  <si>
    <t xml:space="preserve">Neutre</t>
  </si>
  <si>
    <t xml:space="preserve">Optimiste</t>
  </si>
  <si>
    <t xml:space="preserve">Lecture : un creux profond et durable (pessimiste) = risque de survie, même si le projet finit par croiser. C'est la trésorerie, pas le ROI, qui tue un projet.</t>
  </si>
  <si>
    <t xml:space="preserve">SCHÉMA DB &amp; EMPREINTE MÉMOIRE — prospectif par jalon</t>
  </si>
  <si>
    <t xml:space="preserve">Le working set PostgreSQL (lignes chaudes + index) doit tenir en RAM pour garder 287 req/s P99&lt;1s. Le schéma grossit avec la roadmap ; l'accumulatif grossit avec le temps.</t>
  </si>
  <si>
    <t xml:space="preserve">Copros cloud (← Modele)</t>
  </si>
  <si>
    <t xml:space="preserve">Suit le scénario actif</t>
  </si>
  <si>
    <t xml:space="preserve">Mois écoulés (← Modele)</t>
  </si>
  <si>
    <t xml:space="preserve">— SCHÉMA (entités cumulées) —</t>
  </si>
  <si>
    <t xml:space="preserve">Entités DDD cumulées</t>
  </si>
  <si>
    <t xml:space="preserve">J0=59 réel ; deltas roadmap (GDPR/compta/communauté/IA-IoT)</t>
  </si>
  <si>
    <t xml:space="preserve">— PARAMÈTRES DONNÉES (modifiables) —</t>
  </si>
  <si>
    <t xml:space="preserve">Lignes statiques / entité / copro</t>
  </si>
  <si>
    <t xml:space="preserve">CRUD: units, owners, comptes PCMN... (moyenne)</t>
  </si>
  <si>
    <t xml:space="preserve">Lignes accumulées / copro / mois</t>
  </si>
  <si>
    <t xml:space="preserve">Audit, transactions, votes, doc-méta (croît dans le temps)</t>
  </si>
  <si>
    <t xml:space="preserve">Taille moyenne ligne (Ko)</t>
  </si>
  <si>
    <t xml:space="preserve">Facteur index (x données)</t>
  </si>
  <si>
    <t xml:space="preserve">Index doivent rester chauds</t>
  </si>
  <si>
    <t xml:space="preserve">Fraction données chaudes (working set)</t>
  </si>
  <si>
    <t xml:space="preserve">RAM utile DB / nœud (Go)</t>
  </si>
  <si>
    <t xml:space="preserve">VPS 2Go − OS/app</t>
  </si>
  <si>
    <t xml:space="preserve">— EMPREINTE PAR COPRO —</t>
  </si>
  <si>
    <t xml:space="preserve">Lignes / copro</t>
  </si>
  <si>
    <t xml:space="preserve">Données / copro (Mo)</t>
  </si>
  <si>
    <t xml:space="preserve">Index / copro (Mo)</t>
  </si>
  <si>
    <t xml:space="preserve">— EMPREINTE TOTALE &amp; RAM —</t>
  </si>
  <si>
    <t xml:space="preserve">DB totale (Go)</t>
  </si>
  <si>
    <t xml:space="preserve">Working set requis (Go)</t>
  </si>
  <si>
    <t xml:space="preserve">Index (chauds) + fraction chaude des données</t>
  </si>
  <si>
    <t xml:space="preserve">RAM disponible (nœuds × utile) (Go)</t>
  </si>
  <si>
    <t xml:space="preserve">Pression RAM (working set / dispo)</t>
  </si>
  <si>
    <t xml:space="preserve">Mur mémoire ?</t>
  </si>
  <si>
    <t xml:space="preserve">════ INTERRUPTEUR IoT (série temporelle) ════</t>
  </si>
  <si>
    <t xml:space="preserve">IoT activé ? (1=oui / 0=non)</t>
  </si>
  <si>
    <t xml:space="preserve">Bascule pour comparer avec/sans IoT</t>
  </si>
  <si>
    <t xml:space="preserve">Adoption add-on IoT / jalon</t>
  </si>
  <si>
    <t xml:space="preserve">PropTech 2.0 : tardif et partiel (opt-in payant)</t>
  </si>
  <si>
    <t xml:space="preserve">Capteurs / copro</t>
  </si>
  <si>
    <t xml:space="preserve">eau, élec, gaz, température, humidité</t>
  </si>
  <si>
    <t xml:space="preserve">Relevés / capteur / heure</t>
  </si>
  <si>
    <t xml:space="preserve">4 = un relevé / 15 min</t>
  </si>
  <si>
    <t xml:space="preserve">Taille ligne relevé (Ko)</t>
  </si>
  <si>
    <t xml:space="preserve">Rétention brute (mois)</t>
  </si>
  <si>
    <t xml:space="preserve">Fenêtre conservée chaude/tiède</t>
  </si>
  <si>
    <t xml:space="preserve">Fraction chaude série temporelle</t>
  </si>
  <si>
    <t xml:space="preserve">TS surtout froide ; récent chaud</t>
  </si>
  <si>
    <t xml:space="preserve">— EMPREINTE IoT —</t>
  </si>
  <si>
    <t xml:space="preserve">Lignes IoT / copro (fenêtre)</t>
  </si>
  <si>
    <t xml:space="preserve">capteurs × freq × 730h × rétention</t>
  </si>
  <si>
    <t xml:space="preserve">Copros IoT</t>
  </si>
  <si>
    <t xml:space="preserve">Volume IoT total (Go)</t>
  </si>
  <si>
    <t xml:space="preserve">Working set IoT (Go)</t>
  </si>
  <si>
    <t xml:space="preserve">fraction chaude + index TS</t>
  </si>
  <si>
    <t xml:space="preserve">— COMBINÉ (CRUD + IoT) —</t>
  </si>
  <si>
    <t xml:space="preserve">Working set TOTAL (Go)</t>
  </si>
  <si>
    <t xml:space="preserve">base (ligne 22) + IoT</t>
  </si>
  <si>
    <t xml:space="preserve">Pression RAM combinée</t>
  </si>
  <si>
    <t xml:space="preserve">Mur mémoire (avec IoT) ?</t>
  </si>
  <si>
    <t xml:space="preserve">Verdict architecture</t>
  </si>
  <si>
    <t xml:space="preserve">Si la pression IoT dépasse la pression CRUD, la série temporelle ne doit PAS vivre dans PostgreSQL transactionnel : destination = TSDB (TimescaleDB/Prometheus) ou stockage objet downsamplé. Mettre l'IoT dans la DB relationnelle est un anti-pattern qui avance le mur mémoire — un point de bascule à trancher en ADR.</t>
  </si>
  <si>
    <t xml:space="preserve">STACK DE COMPUTE — décomposition mémoire &amp; tiers de déploiement</t>
  </si>
  <si>
    <t xml:space="preserve">La RAM utile PostgreSQL = RAM nœud − (OS + orchestration + Traefik + Rust + MinIO + marge + microservices). Le tier et les choix d'archi la rabotent → ils avancent le mur mémoire.</t>
  </si>
  <si>
    <t xml:space="preserve">TIER DE DÉPLOIEMENT</t>
  </si>
  <si>
    <t xml:space="preserve">Tier (1=Compose / 2=K3s / 3=K8s managé)</t>
  </si>
  <si>
    <t xml:space="preserve">EMPREINTE COMPOSANTS PAR NŒUD (Mo)</t>
  </si>
  <si>
    <t xml:space="preserve">RAM nœud (VPS)</t>
  </si>
  <si>
    <t xml:space="preserve">Mo</t>
  </si>
  <si>
    <t xml:space="preserve">OVH Value 2Go (mesuré KoproGo)</t>
  </si>
  <si>
    <t xml:space="preserve">OS + démon Docker</t>
  </si>
  <si>
    <t xml:space="preserve">Ubuntu minimal + dockerd</t>
  </si>
  <si>
    <t xml:space="preserve">Orchestration (selon tier)</t>
  </si>
  <si>
    <t xml:space="preserve">Compose 0 / K3s ~700 / K8s-worker ~400</t>
  </si>
  <si>
    <t xml:space="preserve">Traefik (proxy)</t>
  </si>
  <si>
    <t xml:space="preserve">K3s embarque l'ingress dans l'orchestration</t>
  </si>
  <si>
    <t xml:space="preserve">Rust/Actix — base</t>
  </si>
  <si>
    <t xml:space="preserve">RSS mesuré KoproGo ~128 Mo max</t>
  </si>
  <si>
    <t xml:space="preserve">Endpoints API</t>
  </si>
  <si>
    <t xml:space="preserve">README KoproGo</t>
  </si>
  <si>
    <t xml:space="preserve">RSS / endpoint</t>
  </si>
  <si>
    <t xml:space="preserve">Ko</t>
  </si>
  <si>
    <t xml:space="preserve">Croissance text-segment (modeste en RAM)</t>
  </si>
  <si>
    <t xml:space="preserve">Rust — part endpoints</t>
  </si>
  <si>
    <t xml:space="preserve">endpoints × Ko/endpoint</t>
  </si>
  <si>
    <t xml:space="preserve">MinIO auto-hébergé ? (1/0)</t>
  </si>
  <si>
    <t xml:space="preserve">Prod KoproGo = S3 OVH managé → 0</t>
  </si>
  <si>
    <t xml:space="preserve">MinIO</t>
  </si>
  <si>
    <t xml:space="preserve">Microservices co-localisés (nb)</t>
  </si>
  <si>
    <t xml:space="preserve">Bounded contexts extraits sur ce nœud</t>
  </si>
  <si>
    <t xml:space="preserve">Overhead / microservice</t>
  </si>
  <si>
    <t xml:space="preserve">Runtime Rust idle + pool</t>
  </si>
  <si>
    <t xml:space="preserve">Microservices</t>
  </si>
  <si>
    <t xml:space="preserve">Marge sécurité</t>
  </si>
  <si>
    <t xml:space="preserve">→ RAM dispo PostgreSQL</t>
  </si>
  <si>
    <t xml:space="preserve">nœud − (OS + reste)</t>
  </si>
  <si>
    <t xml:space="preserve">→ RAM dispo PostgreSQL (Go)</t>
  </si>
  <si>
    <t xml:space="preserve">Go</t>
  </si>
  <si>
    <t xml:space="preserve">← injecté dans Schema-Empreinte</t>
  </si>
  <si>
    <t xml:space="preserve">BINAIRE / IMAGE RUST (croissance endpoints)</t>
  </si>
  <si>
    <t xml:space="preserve">Image base (distroless+rust)</t>
  </si>
  <si>
    <t xml:space="preserve">Ko / endpoint (binaire)</t>
  </si>
  <si>
    <t xml:space="preserve">Code généré par endpoint</t>
  </si>
  <si>
    <t xml:space="preserve">Taille image</t>
  </si>
  <si>
    <t xml:space="preserve">→ déploiement, registre, cold-start</t>
  </si>
  <si>
    <t xml:space="preserve">Note : les endpoints gonflent surtout l'IMAGE (disque, registre, cold-start) ; l'impact RAM résident reste modeste (Rust mappe le text-segment).</t>
  </si>
  <si>
    <t xml:space="preserve">EXTRACTION DDD — relief du mur mémoire</t>
  </si>
  <si>
    <t xml:space="preserve">Contexte IoT extrait vers TSDB ? (1/0)</t>
  </si>
  <si>
    <t xml:space="preserve">Sort la série temporelle de PostgreSQL</t>
  </si>
  <si>
    <t xml:space="preserve">WS PostgreSQL @ J5 — IoT dans PG</t>
  </si>
  <si>
    <t xml:space="preserve">WS PostgreSQL @ J5 — IoT en TSDB (CRUD seul)</t>
  </si>
  <si>
    <t xml:space="preserve">→ WS effectif @ J5 (selon extraction)</t>
  </si>
  <si>
    <t xml:space="preserve">Lecture : extraire le bounded context IoT vers un TSDB dédié (DDD le permet proprement) retire la série temporelle du working set PostgreSQL — c'est LE levier qui recule le mur. Choix irréversible (migration de données) → ADR.</t>
  </si>
  <si>
    <t xml:space="preserve">COÛT PAR TIER (calibré sur paliers KoproGo)</t>
  </si>
  <si>
    <t xml:space="preserve">K3s — facteur capacité/nœud</t>
  </si>
  <si>
    <t xml:space="preserve">Control-plane ampute la RAM PG (0,79/1,41 Go)</t>
  </si>
  <si>
    <t xml:space="preserve">K8s — facteur capacité/nœud</t>
  </si>
  <si>
    <t xml:space="preserve">Nœuds managés dimensionnés</t>
  </si>
  <si>
    <t xml:space="preserve">K3s — multiplicateur HA (nœuds)</t>
  </si>
  <si>
    <t xml:space="preserve">Multi-nœud pour redondance</t>
  </si>
  <si>
    <t xml:space="preserve">K8s — multiplicateur HA (nœuds)</t>
  </si>
  <si>
    <t xml:space="preserve">HA multi-AZ</t>
  </si>
  <si>
    <t xml:space="preserve">K3s — forfait /mois</t>
  </si>
  <si>
    <t xml:space="preserve">Auto-géré (pas de control-plane payant)</t>
  </si>
  <si>
    <t xml:space="preserve">K8s — forfait /mois (LB+managé)</t>
  </si>
  <si>
    <t xml:space="preserve">Calibré : palier 5000 ≈ 163€</t>
  </si>
  <si>
    <t xml:space="preserve">K8s — facteur storage 3-AZ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</si>
</sst>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####"/>
    <numFmt numFmtId="167" formatCode="0.0%"/>
    <numFmt numFmtId="168" formatCode="#,##0.00&quot; €&quot;;\(#,##0.00&quot; €)&quot;;\-"/>
    <numFmt numFmtId="169" formatCode="#,##0&quot; €&quot;;\(#,##0&quot; €)&quot;;\-"/>
    <numFmt numFmtId="170" formatCode="#,##0.0"/>
    <numFmt numFmtId="171" formatCode="#,##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F8CBA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3A9CE"/>
      <rgbColor rgb="FFAA433F"/>
      <rgbColor rgb="FFF9F9F9"/>
      <rgbColor rgb="FFD9E1F2"/>
      <rgbColor rgb="FF660066"/>
      <rgbColor rgb="FFCC8F8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B3B3B3"/>
      <rgbColor rgb="FFD09493"/>
      <rgbColor rgb="FFA99BBD"/>
      <rgbColor rgb="FFF8CBAD"/>
      <rgbColor rgb="FF4A7EBB"/>
      <rgbColor rgb="FF33CCCC"/>
      <rgbColor rgb="FF98B855"/>
      <rgbColor rgb="FFFFCC00"/>
      <rgbColor rgb="FFFF9900"/>
      <rgbColor rgb="FFFF6600"/>
      <rgbColor rgb="FF725990"/>
      <rgbColor rgb="FF878787"/>
      <rgbColor rgb="FF1F3864"/>
      <rgbColor rgb="FF4F81BD"/>
      <rgbColor rgb="FF003300"/>
      <rgbColor rgb="FF333300"/>
      <rgbColor rgb="FFBE4B48"/>
      <rgbColor rgb="FFAB4744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Coût total vs Valeur cumulés (croisement)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"Coût total cumulé"</c:f>
              <c:strCache>
                <c:ptCount val="1"/>
                <c:pt idx="0">
                  <c:v>Coût total cumulé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Modele!$C$2:$H$2</c:f>
              <c:multiLvlStrCache>
                <c:ptCount val="1"/>
                <c:lvl>
                  <c:pt idx="0">
                    <c:v>J5</c:v>
                  </c:pt>
                </c:lvl>
                <c:lvl>
                  <c:pt idx="0">
                    <c:v>J4</c:v>
                  </c:pt>
                </c:lvl>
                <c:lvl>
                  <c:pt idx="0">
                    <c:v>J3</c:v>
                  </c:pt>
                </c:lvl>
                <c:lvl>
                  <c:pt idx="0">
                    <c:v>J2</c:v>
                  </c:pt>
                </c:lvl>
                <c:lvl>
                  <c:pt idx="0">
                    <c:v>J1</c:v>
                  </c:pt>
                </c:lvl>
                <c:lvl>
                  <c:pt idx="0">
                    <c:v>J0</c:v>
                  </c:pt>
                </c:lvl>
              </c:multiLvlStrCache>
            </c:multiLvlStrRef>
          </c:cat>
          <c:val>
            <c:numRef>
              <c:f>Modele!$C$35:$H$35</c:f>
              <c:numCache>
                <c:formatCode>#,##0.00" €";\(#,##0.00" €)";\-</c:formatCode>
                <c:ptCount val="6"/>
                <c:pt idx="0">
                  <c:v>16878.4898333333</c:v>
                </c:pt>
                <c:pt idx="1">
                  <c:v>22092.0751466667</c:v>
                </c:pt>
                <c:pt idx="2">
                  <c:v>30415.4179283333</c:v>
                </c:pt>
                <c:pt idx="3">
                  <c:v>56491.3674866667</c:v>
                </c:pt>
                <c:pt idx="4">
                  <c:v>102392.83404</c:v>
                </c:pt>
                <c:pt idx="5">
                  <c:v>205754.689216667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"Revenu cumulé"</c:f>
              <c:strCache>
                <c:ptCount val="1"/>
                <c:pt idx="0">
                  <c:v>Revenu cumulé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Modele!$C$2:$H$2</c:f>
              <c:multiLvlStrCache>
                <c:ptCount val="1"/>
                <c:lvl>
                  <c:pt idx="0">
                    <c:v>J5</c:v>
                  </c:pt>
                </c:lvl>
                <c:lvl>
                  <c:pt idx="0">
                    <c:v>J4</c:v>
                  </c:pt>
                </c:lvl>
                <c:lvl>
                  <c:pt idx="0">
                    <c:v>J3</c:v>
                  </c:pt>
                </c:lvl>
                <c:lvl>
                  <c:pt idx="0">
                    <c:v>J2</c:v>
                  </c:pt>
                </c:lvl>
                <c:lvl>
                  <c:pt idx="0">
                    <c:v>J1</c:v>
                  </c:pt>
                </c:lvl>
                <c:lvl>
                  <c:pt idx="0">
                    <c:v>J0</c:v>
                  </c:pt>
                </c:lvl>
              </c:multiLvlStrCache>
            </c:multiLvlStrRef>
          </c:cat>
          <c:val>
            <c:numRef>
              <c:f>Modele!$C$34:$H$34</c:f>
              <c:numCache>
                <c:formatCode>#,##0.00" €";\(#,##0.00" €)";\-</c:formatCode>
                <c:ptCount val="6"/>
                <c:pt idx="0">
                  <c:v>0</c:v>
                </c:pt>
                <c:pt idx="1">
                  <c:v>300</c:v>
                </c:pt>
                <c:pt idx="2">
                  <c:v>2700</c:v>
                </c:pt>
                <c:pt idx="3">
                  <c:v>32700</c:v>
                </c:pt>
                <c:pt idx="4">
                  <c:v>104700</c:v>
                </c:pt>
                <c:pt idx="5">
                  <c:v>284700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"Valeur sociale cumulée"</c:f>
              <c:strCache>
                <c:ptCount val="1"/>
                <c:pt idx="0">
                  <c:v>Valeur sociale cumulée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Modele!$C$2:$H$2</c:f>
              <c:multiLvlStrCache>
                <c:ptCount val="1"/>
                <c:lvl>
                  <c:pt idx="0">
                    <c:v>J5</c:v>
                  </c:pt>
                </c:lvl>
                <c:lvl>
                  <c:pt idx="0">
                    <c:v>J4</c:v>
                  </c:pt>
                </c:lvl>
                <c:lvl>
                  <c:pt idx="0">
                    <c:v>J3</c:v>
                  </c:pt>
                </c:lvl>
                <c:lvl>
                  <c:pt idx="0">
                    <c:v>J2</c:v>
                  </c:pt>
                </c:lvl>
                <c:lvl>
                  <c:pt idx="0">
                    <c:v>J1</c:v>
                  </c:pt>
                </c:lvl>
                <c:lvl>
                  <c:pt idx="0">
                    <c:v>J0</c:v>
                  </c:pt>
                </c:lvl>
              </c:multiLvlStrCache>
            </c:multiLvlStrRef>
          </c:cat>
          <c:val>
            <c:numRef>
              <c:f>Modele!$C$38:$H$38</c:f>
              <c:numCache>
                <c:formatCode>#,##0.00" €";\(#,##0.00" €)";\-</c:formatCode>
                <c:ptCount val="6"/>
                <c:pt idx="0">
                  <c:v>0</c:v>
                </c:pt>
                <c:pt idx="1">
                  <c:v>3000</c:v>
                </c:pt>
                <c:pt idx="2">
                  <c:v>27000</c:v>
                </c:pt>
                <c:pt idx="3">
                  <c:v>327000</c:v>
                </c:pt>
                <c:pt idx="4">
                  <c:v>1047000</c:v>
                </c:pt>
                <c:pt idx="5">
                  <c:v>2847000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555542"/>
        <c:axId val="97282064"/>
      </c:lineChart>
      <c:catAx>
        <c:axId val="225555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Jalon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82064"/>
        <c:crosses val="autoZero"/>
        <c:auto val="1"/>
        <c:lblAlgn val="ctr"/>
        <c:lblOffset val="100"/>
        <c:noMultiLvlLbl val="0"/>
      </c:catAx>
      <c:valAx>
        <c:axId val="972820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 cumulés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;\(#,##0.00&quot; €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555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Infra €/mois selon l'adoption (marche K8s)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"Infra modèle"</c:f>
              <c:strCache>
                <c:ptCount val="1"/>
                <c:pt idx="0">
                  <c:v>Infra modèle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Modele!$C$2:$H$2</c:f>
              <c:multiLvlStrCache>
                <c:ptCount val="1"/>
                <c:lvl>
                  <c:pt idx="0">
                    <c:v>J5</c:v>
                  </c:pt>
                </c:lvl>
                <c:lvl>
                  <c:pt idx="0">
                    <c:v>J4</c:v>
                  </c:pt>
                </c:lvl>
                <c:lvl>
                  <c:pt idx="0">
                    <c:v>J3</c:v>
                  </c:pt>
                </c:lvl>
                <c:lvl>
                  <c:pt idx="0">
                    <c:v>J2</c:v>
                  </c:pt>
                </c:lvl>
                <c:lvl>
                  <c:pt idx="0">
                    <c:v>J1</c:v>
                  </c:pt>
                </c:lvl>
                <c:lvl>
                  <c:pt idx="0">
                    <c:v>J0</c:v>
                  </c:pt>
                </c:lvl>
              </c:multiLvlStrCache>
            </c:multiLvlStrRef>
          </c:cat>
          <c:val>
            <c:numRef>
              <c:f>Modele!$C$13:$H$13</c:f>
              <c:numCache>
                <c:formatCode>#,##0.00" €";\(#,##0.00" €)";\-</c:formatCode>
                <c:ptCount val="6"/>
                <c:pt idx="0">
                  <c:v>7.336</c:v>
                </c:pt>
                <c:pt idx="1">
                  <c:v>7.66</c:v>
                </c:pt>
                <c:pt idx="2">
                  <c:v>9.28</c:v>
                </c:pt>
                <c:pt idx="3">
                  <c:v>17.92</c:v>
                </c:pt>
                <c:pt idx="4">
                  <c:v>119.94</c:v>
                </c:pt>
                <c:pt idx="5">
                  <c:v>163.14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"KoproGo publié (contrôle)"</c:f>
              <c:strCache>
                <c:ptCount val="1"/>
                <c:pt idx="0">
                  <c:v>KoproGo publié (contrôle)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Modele!$C$2:$H$2</c:f>
              <c:multiLvlStrCache>
                <c:ptCount val="1"/>
                <c:lvl>
                  <c:pt idx="0">
                    <c:v>J5</c:v>
                  </c:pt>
                </c:lvl>
                <c:lvl>
                  <c:pt idx="0">
                    <c:v>J4</c:v>
                  </c:pt>
                </c:lvl>
                <c:lvl>
                  <c:pt idx="0">
                    <c:v>J3</c:v>
                  </c:pt>
                </c:lvl>
                <c:lvl>
                  <c:pt idx="0">
                    <c:v>J2</c:v>
                  </c:pt>
                </c:lvl>
                <c:lvl>
                  <c:pt idx="0">
                    <c:v>J1</c:v>
                  </c:pt>
                </c:lvl>
                <c:lvl>
                  <c:pt idx="0">
                    <c:v>J0</c:v>
                  </c:pt>
                </c:lvl>
              </c:multiLvlStrCache>
            </c:multiLvlStrRef>
          </c:cat>
          <c:val>
            <c:numRef>
              <c:f>Modele!$C$14:$H$14</c:f>
              <c:numCache>
                <c:formatCode>#,##0" €";\(#,##0" €)";\-</c:formatCode>
                <c:ptCount val="6"/>
                <c:pt idx="1">
                  <c:v>8</c:v>
                </c:pt>
                <c:pt idx="2">
                  <c:v>13</c:v>
                </c:pt>
                <c:pt idx="3">
                  <c:v>18</c:v>
                </c:pt>
                <c:pt idx="5">
                  <c:v>163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770177"/>
        <c:axId val="55767397"/>
      </c:lineChart>
      <c:catAx>
        <c:axId val="337701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Jalon (copros croissants)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67397"/>
        <c:crosses val="autoZero"/>
        <c:auto val="1"/>
        <c:lblAlgn val="ctr"/>
        <c:lblOffset val="100"/>
        <c:noMultiLvlLbl val="0"/>
      </c:catAx>
      <c:valAx>
        <c:axId val="557673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€/mois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;\(#,##0.00&quot; €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701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Surplus mensuel par jalon (€/mois)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"Surplus /mois"</c:f>
              <c:strCache>
                <c:ptCount val="1"/>
                <c:pt idx="0">
                  <c:v>Surplus /mois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Modele!$C$2:$H$2</c:f>
              <c:multiLvlStrCache>
                <c:ptCount val="1"/>
                <c:lvl>
                  <c:pt idx="0">
                    <c:v>J5</c:v>
                  </c:pt>
                </c:lvl>
                <c:lvl>
                  <c:pt idx="0">
                    <c:v>J4</c:v>
                  </c:pt>
                </c:lvl>
                <c:lvl>
                  <c:pt idx="0">
                    <c:v>J3</c:v>
                  </c:pt>
                </c:lvl>
                <c:lvl>
                  <c:pt idx="0">
                    <c:v>J2</c:v>
                  </c:pt>
                </c:lvl>
                <c:lvl>
                  <c:pt idx="0">
                    <c:v>J1</c:v>
                  </c:pt>
                </c:lvl>
                <c:lvl>
                  <c:pt idx="0">
                    <c:v>J0</c:v>
                  </c:pt>
                </c:lvl>
              </c:multiLvlStrCache>
            </c:multiLvlStrRef>
          </c:cat>
          <c:val>
            <c:numRef>
              <c:f>Modele!$C$29:$H$29</c:f>
              <c:numCache>
                <c:formatCode>#,##0.00" €";\(#,##0.00" €)";\-</c:formatCode>
                <c:ptCount val="6"/>
                <c:pt idx="0">
                  <c:v>-240.5133475</c:v>
                </c:pt>
                <c:pt idx="1">
                  <c:v>-272.28816</c:v>
                </c:pt>
                <c:pt idx="2">
                  <c:v>-195.1911025</c:v>
                </c:pt>
                <c:pt idx="3">
                  <c:v>534.718085</c:v>
                </c:pt>
                <c:pt idx="4">
                  <c:v>2393.369565</c:v>
                </c:pt>
                <c:pt idx="5">
                  <c:v>4330.505305</c:v>
                </c:pt>
              </c:numCache>
            </c:numRef>
          </c:val>
        </c:ser>
        <c:gapWidth val="150"/>
        <c:overlap val="0"/>
        <c:axId val="73148644"/>
        <c:axId val="72321656"/>
      </c:barChart>
      <c:catAx>
        <c:axId val="731486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Jalon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21656"/>
        <c:crosses val="autoZero"/>
        <c:auto val="1"/>
        <c:lblAlgn val="ctr"/>
        <c:lblOffset val="100"/>
        <c:noMultiLvlLbl val="0"/>
      </c:catAx>
      <c:valAx>
        <c:axId val="72321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€/mois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;\(#,##0.00&quot; €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486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Fabrication par jalon : tokens vs superviseur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"Coût tokens"</c:f>
              <c:strCache>
                <c:ptCount val="1"/>
                <c:pt idx="0">
                  <c:v>Coût tokens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Modele!$C$2:$H$2</c:f>
              <c:multiLvlStrCache>
                <c:ptCount val="1"/>
                <c:lvl>
                  <c:pt idx="0">
                    <c:v>J5</c:v>
                  </c:pt>
                </c:lvl>
                <c:lvl>
                  <c:pt idx="0">
                    <c:v>J4</c:v>
                  </c:pt>
                </c:lvl>
                <c:lvl>
                  <c:pt idx="0">
                    <c:v>J3</c:v>
                  </c:pt>
                </c:lvl>
                <c:lvl>
                  <c:pt idx="0">
                    <c:v>J2</c:v>
                  </c:pt>
                </c:lvl>
                <c:lvl>
                  <c:pt idx="0">
                    <c:v>J1</c:v>
                  </c:pt>
                </c:lvl>
                <c:lvl>
                  <c:pt idx="0">
                    <c:v>J0</c:v>
                  </c:pt>
                </c:lvl>
              </c:multiLvlStrCache>
            </c:multiLvlStrRef>
          </c:cat>
          <c:val>
            <c:numRef>
              <c:f>Modele!$C$17:$H$17</c:f>
              <c:numCache>
                <c:formatCode>#,##0.00" €";\(#,##0.00" €)";\-</c:formatCode>
                <c:ptCount val="6"/>
                <c:pt idx="0">
                  <c:v>55.1565</c:v>
                </c:pt>
                <c:pt idx="1">
                  <c:v>13.3875</c:v>
                </c:pt>
                <c:pt idx="2">
                  <c:v>15.5295</c:v>
                </c:pt>
                <c:pt idx="3">
                  <c:v>13.3875</c:v>
                </c:pt>
                <c:pt idx="4">
                  <c:v>8.568</c:v>
                </c:pt>
                <c:pt idx="5">
                  <c:v>4.284</c:v>
                </c:pt>
              </c:numCache>
            </c:numRef>
          </c:val>
        </c:ser>
        <c:ser>
          <c:idx val="1"/>
          <c:order val="1"/>
          <c:tx>
            <c:strRef>
              <c:f>"Coût superviseur"</c:f>
              <c:strCache>
                <c:ptCount val="1"/>
                <c:pt idx="0">
                  <c:v>Coût superviseur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Modele!$C$2:$H$2</c:f>
              <c:multiLvlStrCache>
                <c:ptCount val="1"/>
                <c:lvl>
                  <c:pt idx="0">
                    <c:v>J5</c:v>
                  </c:pt>
                </c:lvl>
                <c:lvl>
                  <c:pt idx="0">
                    <c:v>J4</c:v>
                  </c:pt>
                </c:lvl>
                <c:lvl>
                  <c:pt idx="0">
                    <c:v>J3</c:v>
                  </c:pt>
                </c:lvl>
                <c:lvl>
                  <c:pt idx="0">
                    <c:v>J2</c:v>
                  </c:pt>
                </c:lvl>
                <c:lvl>
                  <c:pt idx="0">
                    <c:v>J1</c:v>
                  </c:pt>
                </c:lvl>
                <c:lvl>
                  <c:pt idx="0">
                    <c:v>J0</c:v>
                  </c:pt>
                </c:lvl>
              </c:multiLvlStrCache>
            </c:multiLvlStrRef>
          </c:cat>
          <c:val>
            <c:numRef>
              <c:f>Modele!$C$19:$H$19</c:f>
              <c:numCache>
                <c:formatCode>#,##0.00" €";\(#,##0.00" €)";\-</c:formatCode>
                <c:ptCount val="6"/>
                <c:pt idx="0">
                  <c:v>16823.3333333333</c:v>
                </c:pt>
                <c:pt idx="1">
                  <c:v>4083.33333333333</c:v>
                </c:pt>
                <c:pt idx="2">
                  <c:v>4736.66666666667</c:v>
                </c:pt>
                <c:pt idx="3">
                  <c:v>4083.33333333333</c:v>
                </c:pt>
                <c:pt idx="4">
                  <c:v>2613.33333333333</c:v>
                </c:pt>
                <c:pt idx="5">
                  <c:v>1306.66666666667</c:v>
                </c:pt>
              </c:numCache>
            </c:numRef>
          </c:val>
        </c:ser>
        <c:gapWidth val="150"/>
        <c:overlap val="100"/>
        <c:axId val="2025019"/>
        <c:axId val="70795173"/>
      </c:barChart>
      <c:catAx>
        <c:axId val="20250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Jalon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95173"/>
        <c:crosses val="autoZero"/>
        <c:auto val="1"/>
        <c:lblAlgn val="ctr"/>
        <c:lblOffset val="100"/>
        <c:noMultiLvlLbl val="0"/>
      </c:catAx>
      <c:valAx>
        <c:axId val="707951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;\(#,##0.00&quot; €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50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Enveloppe ROI — surplus cumulé par scénario d'adoption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"Pessimiste"</c:f>
              <c:strCache>
                <c:ptCount val="1"/>
                <c:pt idx="0">
                  <c:v>Pessimiste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Scenarios!$C$5:$H$5</c:f>
              <c:multiLvlStrCache>
                <c:ptCount val="1"/>
                <c:lvl>
                  <c:pt idx="0">
                    <c:v>J5</c:v>
                  </c:pt>
                </c:lvl>
                <c:lvl>
                  <c:pt idx="0">
                    <c:v>J4</c:v>
                  </c:pt>
                </c:lvl>
                <c:lvl>
                  <c:pt idx="0">
                    <c:v>J3</c:v>
                  </c:pt>
                </c:lvl>
                <c:lvl>
                  <c:pt idx="0">
                    <c:v>J2</c:v>
                  </c:pt>
                </c:lvl>
                <c:lvl>
                  <c:pt idx="0">
                    <c:v>J1</c:v>
                  </c:pt>
                </c:lvl>
                <c:lvl>
                  <c:pt idx="0">
                    <c:v>J0</c:v>
                  </c:pt>
                </c:lvl>
              </c:multiLvlStrCache>
            </c:multiLvlStrRef>
          </c:cat>
          <c:val>
            <c:numRef>
              <c:f>Scenarios!$C$24:$H$24</c:f>
              <c:numCache>
                <c:formatCode>#,##0.00" €";\(#,##0.00" €)";\-</c:formatCode>
                <c:ptCount val="6"/>
                <c:pt idx="0">
                  <c:v>-16878.4898333333</c:v>
                </c:pt>
                <c:pt idx="1">
                  <c:v>-24242.6685866667</c:v>
                </c:pt>
                <c:pt idx="2">
                  <c:v>-32524.1979833333</c:v>
                </c:pt>
                <c:pt idx="3">
                  <c:v>-36139.5017966667</c:v>
                </c:pt>
                <c:pt idx="4">
                  <c:v>-26872.05357</c:v>
                </c:pt>
                <c:pt idx="5">
                  <c:v>6975.20308333333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"Neutre"</c:f>
              <c:strCache>
                <c:ptCount val="1"/>
                <c:pt idx="0">
                  <c:v>Neutre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Scenarios!$C$5:$H$5</c:f>
              <c:multiLvlStrCache>
                <c:ptCount val="1"/>
                <c:lvl>
                  <c:pt idx="0">
                    <c:v>J5</c:v>
                  </c:pt>
                </c:lvl>
                <c:lvl>
                  <c:pt idx="0">
                    <c:v>J4</c:v>
                  </c:pt>
                </c:lvl>
                <c:lvl>
                  <c:pt idx="0">
                    <c:v>J3</c:v>
                  </c:pt>
                </c:lvl>
                <c:lvl>
                  <c:pt idx="0">
                    <c:v>J2</c:v>
                  </c:pt>
                </c:lvl>
                <c:lvl>
                  <c:pt idx="0">
                    <c:v>J1</c:v>
                  </c:pt>
                </c:lvl>
                <c:lvl>
                  <c:pt idx="0">
                    <c:v>J0</c:v>
                  </c:pt>
                </c:lvl>
              </c:multiLvlStrCache>
            </c:multiLvlStrRef>
          </c:cat>
          <c:val>
            <c:numRef>
              <c:f>Scenarios!$C$28:$H$28</c:f>
              <c:numCache>
                <c:formatCode>#,##0.00" €";\(#,##0.00" €)";\-</c:formatCode>
                <c:ptCount val="6"/>
                <c:pt idx="0">
                  <c:v>-16878.4898333333</c:v>
                </c:pt>
                <c:pt idx="1">
                  <c:v>-21792.0751466667</c:v>
                </c:pt>
                <c:pt idx="2">
                  <c:v>-27715.4179283333</c:v>
                </c:pt>
                <c:pt idx="3">
                  <c:v>-23791.3674866667</c:v>
                </c:pt>
                <c:pt idx="4">
                  <c:v>2319.16596</c:v>
                </c:pt>
                <c:pt idx="5">
                  <c:v>78975.3107833334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"Optimiste"</c:f>
              <c:strCache>
                <c:ptCount val="1"/>
                <c:pt idx="0">
                  <c:v>Optimiste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Scenarios!$C$5:$H$5</c:f>
              <c:multiLvlStrCache>
                <c:ptCount val="1"/>
                <c:lvl>
                  <c:pt idx="0">
                    <c:v>J5</c:v>
                  </c:pt>
                </c:lvl>
                <c:lvl>
                  <c:pt idx="0">
                    <c:v>J4</c:v>
                  </c:pt>
                </c:lvl>
                <c:lvl>
                  <c:pt idx="0">
                    <c:v>J3</c:v>
                  </c:pt>
                </c:lvl>
                <c:lvl>
                  <c:pt idx="0">
                    <c:v>J2</c:v>
                  </c:pt>
                </c:lvl>
                <c:lvl>
                  <c:pt idx="0">
                    <c:v>J1</c:v>
                  </c:pt>
                </c:lvl>
                <c:lvl>
                  <c:pt idx="0">
                    <c:v>J0</c:v>
                  </c:pt>
                </c:lvl>
              </c:multiLvlStrCache>
            </c:multiLvlStrRef>
          </c:cat>
          <c:val>
            <c:numRef>
              <c:f>Scenarios!$C$32:$H$32</c:f>
              <c:numCache>
                <c:formatCode>#,##0.00" €";\(#,##0.00" €)";\-</c:formatCode>
                <c:ptCount val="6"/>
                <c:pt idx="0">
                  <c:v>-16878.4898333333</c:v>
                </c:pt>
                <c:pt idx="1">
                  <c:v>-21643.6951466667</c:v>
                </c:pt>
                <c:pt idx="2">
                  <c:v>-26091.1846208333</c:v>
                </c:pt>
                <c:pt idx="3">
                  <c:v>-21044.3969441667</c:v>
                </c:pt>
                <c:pt idx="4">
                  <c:v>28547.7365025</c:v>
                </c:pt>
                <c:pt idx="5">
                  <c:v>137750.369495833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018179"/>
        <c:axId val="22386202"/>
      </c:lineChart>
      <c:catAx>
        <c:axId val="600181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Jalon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86202"/>
        <c:crosses val="autoZero"/>
        <c:auto val="1"/>
        <c:lblAlgn val="ctr"/>
        <c:lblOffset val="100"/>
        <c:noMultiLvlLbl val="0"/>
      </c:catAx>
      <c:valAx>
        <c:axId val="223862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 cumulés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;\(#,##0.00&quot; €)&quot;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181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Tornado — impact sur le surplus cumulé J5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Sensibilite!C4</c:f>
              <c:strCache>
                <c:ptCount val="1"/>
                <c:pt idx="0">
                  <c:v>Surplus si bas</c:v>
                </c:pt>
              </c:strCache>
            </c:strRef>
          </c:tx>
          <c:spPr>
            <a:solidFill>
              <a:srgbClr val="ab474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Sensibilite!$C$5:$C$13</c:f>
              <c:numCache>
                <c:formatCode>#,##0" €";\(#,##0" €)";\-</c:formatCode>
                <c:ptCount val="9"/>
                <c:pt idx="0">
                  <c:v>78996</c:v>
                </c:pt>
                <c:pt idx="1">
                  <c:v>79003</c:v>
                </c:pt>
                <c:pt idx="2">
                  <c:v>79023</c:v>
                </c:pt>
                <c:pt idx="3">
                  <c:v>79275</c:v>
                </c:pt>
                <c:pt idx="4">
                  <c:v>85206</c:v>
                </c:pt>
                <c:pt idx="5">
                  <c:v>93598</c:v>
                </c:pt>
                <c:pt idx="6">
                  <c:v>93598</c:v>
                </c:pt>
                <c:pt idx="7">
                  <c:v>59479</c:v>
                </c:pt>
                <c:pt idx="8">
                  <c:v>114563</c:v>
                </c:pt>
              </c:numCache>
            </c:numRef>
          </c:val>
        </c:ser>
        <c:ser>
          <c:idx val="1"/>
          <c:order val="1"/>
          <c:tx>
            <c:strRef>
              <c:f>Sensibilite!D4</c:f>
              <c:strCache>
                <c:ptCount val="1"/>
                <c:pt idx="0">
                  <c:v>Surplus si haut</c:v>
                </c:pt>
              </c:strCache>
            </c:strRef>
          </c:tx>
          <c:spPr>
            <a:solidFill>
              <a:srgbClr val="d09493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Sensibilite!$D$5:$D$13</c:f>
              <c:numCache>
                <c:formatCode>#,##0" €";\(#,##0" €)";\-</c:formatCode>
                <c:ptCount val="9"/>
                <c:pt idx="0">
                  <c:v>78955</c:v>
                </c:pt>
                <c:pt idx="1">
                  <c:v>78948</c:v>
                </c:pt>
                <c:pt idx="2">
                  <c:v>78927</c:v>
                </c:pt>
                <c:pt idx="3">
                  <c:v>78675</c:v>
                </c:pt>
                <c:pt idx="4">
                  <c:v>72744</c:v>
                </c:pt>
                <c:pt idx="5">
                  <c:v>64353</c:v>
                </c:pt>
                <c:pt idx="6">
                  <c:v>64353</c:v>
                </c:pt>
                <c:pt idx="7">
                  <c:v>90673</c:v>
                </c:pt>
                <c:pt idx="8">
                  <c:v>43388</c:v>
                </c:pt>
              </c:numCache>
            </c:numRef>
          </c:val>
        </c:ser>
        <c:gapWidth val="150"/>
        <c:overlap val="0"/>
        <c:axId val="70917522"/>
        <c:axId val="33004350"/>
      </c:barChart>
      <c:catAx>
        <c:axId val="7091752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Surplus cumulé J5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04350"/>
        <c:crosses val="autoZero"/>
        <c:auto val="1"/>
        <c:lblAlgn val="ctr"/>
        <c:lblOffset val="100"/>
        <c:noMultiLvlLbl val="0"/>
      </c:catAx>
      <c:valAx>
        <c:axId val="330043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&quot; €&quot;;\(#,##0&quot; €)&quot;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175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Tornado SOCIAL — impact sur le ROI social J5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Sensibilite!B18</c:f>
              <c:strCache>
                <c:ptCount val="1"/>
                <c:pt idx="0">
                  <c:v>ROI social si bas</c:v>
                </c:pt>
              </c:strCache>
            </c:strRef>
          </c:tx>
          <c:spPr>
            <a:solidFill>
              <a:srgbClr val="72599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Sensibilite!$B$19:$B$26</c:f>
              <c:numCache>
                <c:formatCode>0.0%</c:formatCode>
                <c:ptCount val="8"/>
                <c:pt idx="0">
                  <c:v>13.8421</c:v>
                </c:pt>
                <c:pt idx="1">
                  <c:v>13.8591</c:v>
                </c:pt>
                <c:pt idx="2">
                  <c:v>14.2711</c:v>
                </c:pt>
                <c:pt idx="3">
                  <c:v>14.8978</c:v>
                </c:pt>
                <c:pt idx="4">
                  <c:v>14.8978</c:v>
                </c:pt>
                <c:pt idx="5">
                  <c:v>12.6409</c:v>
                </c:pt>
                <c:pt idx="6">
                  <c:v>16.7336</c:v>
                </c:pt>
                <c:pt idx="7">
                  <c:v>10.3792</c:v>
                </c:pt>
              </c:numCache>
            </c:numRef>
          </c:val>
        </c:ser>
        <c:ser>
          <c:idx val="1"/>
          <c:order val="1"/>
          <c:tx>
            <c:strRef>
              <c:f>Sensibilite!C18</c:f>
              <c:strCache>
                <c:ptCount val="1"/>
                <c:pt idx="0">
                  <c:v>ROI social si haut</c:v>
                </c:pt>
              </c:strCache>
            </c:strRef>
          </c:tx>
          <c:spPr>
            <a:solidFill>
              <a:srgbClr val="a99b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Sensibilite!$C$19:$C$26</c:f>
              <c:numCache>
                <c:formatCode>0.0%</c:formatCode>
                <c:ptCount val="8"/>
                <c:pt idx="0">
                  <c:v>13.8357</c:v>
                </c:pt>
                <c:pt idx="1">
                  <c:v>13.8187</c:v>
                </c:pt>
                <c:pt idx="2">
                  <c:v>13.432</c:v>
                </c:pt>
                <c:pt idx="3">
                  <c:v>12.9205</c:v>
                </c:pt>
                <c:pt idx="4">
                  <c:v>12.9205</c:v>
                </c:pt>
                <c:pt idx="5">
                  <c:v>14.6732</c:v>
                </c:pt>
                <c:pt idx="6">
                  <c:v>11.798</c:v>
                </c:pt>
                <c:pt idx="7">
                  <c:v>17.2986</c:v>
                </c:pt>
              </c:numCache>
            </c:numRef>
          </c:val>
        </c:ser>
        <c:gapWidth val="150"/>
        <c:overlap val="0"/>
        <c:axId val="98993532"/>
        <c:axId val="24498376"/>
      </c:barChart>
      <c:catAx>
        <c:axId val="9899353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ROI social cumulé J5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98376"/>
        <c:crosses val="autoZero"/>
        <c:auto val="1"/>
        <c:lblAlgn val="ctr"/>
        <c:lblOffset val="100"/>
        <c:noMultiLvlLbl val="0"/>
      </c:catAx>
      <c:valAx>
        <c:axId val="244983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935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Empreinte mémoire : working set vs RAM disponible (Go)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"Working set requis"</c:f>
              <c:strCache>
                <c:ptCount val="1"/>
                <c:pt idx="0">
                  <c:v>Working set requis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'Schema-Empreinte'!$C$4:$H$4</c:f>
              <c:multiLvlStrCache>
                <c:ptCount val="1"/>
                <c:lvl>
                  <c:pt idx="0">
                    <c:v>J5</c:v>
                  </c:pt>
                </c:lvl>
                <c:lvl>
                  <c:pt idx="0">
                    <c:v>J4</c:v>
                  </c:pt>
                </c:lvl>
                <c:lvl>
                  <c:pt idx="0">
                    <c:v>J3</c:v>
                  </c:pt>
                </c:lvl>
                <c:lvl>
                  <c:pt idx="0">
                    <c:v>J2</c:v>
                  </c:pt>
                </c:lvl>
                <c:lvl>
                  <c:pt idx="0">
                    <c:v>J1</c:v>
                  </c:pt>
                </c:lvl>
                <c:lvl>
                  <c:pt idx="0">
                    <c:v>J0</c:v>
                  </c:pt>
                </c:lvl>
              </c:multiLvlStrCache>
            </c:multiLvlStrRef>
          </c:cat>
          <c:val>
            <c:numRef>
              <c:f>'Schema-Empreinte'!$C$22:$H$22</c:f>
              <c:numCache>
                <c:formatCode>#,##0.0</c:formatCode>
                <c:ptCount val="6"/>
                <c:pt idx="0">
                  <c:v>0.001944580078125</c:v>
                </c:pt>
                <c:pt idx="1">
                  <c:v>0.00704498291015625</c:v>
                </c:pt>
                <c:pt idx="2">
                  <c:v>0.046966552734375</c:v>
                </c:pt>
                <c:pt idx="3">
                  <c:v>0.43670654296875</c:v>
                </c:pt>
                <c:pt idx="4">
                  <c:v>1.78472900390625</c:v>
                </c:pt>
                <c:pt idx="5">
                  <c:v>4.16107177734375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"RAM disponible"</c:f>
              <c:strCache>
                <c:ptCount val="1"/>
                <c:pt idx="0">
                  <c:v>RAM disponible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'Schema-Empreinte'!$C$4:$H$4</c:f>
              <c:multiLvlStrCache>
                <c:ptCount val="1"/>
                <c:lvl>
                  <c:pt idx="0">
                    <c:v>J5</c:v>
                  </c:pt>
                </c:lvl>
                <c:lvl>
                  <c:pt idx="0">
                    <c:v>J4</c:v>
                  </c:pt>
                </c:lvl>
                <c:lvl>
                  <c:pt idx="0">
                    <c:v>J3</c:v>
                  </c:pt>
                </c:lvl>
                <c:lvl>
                  <c:pt idx="0">
                    <c:v>J2</c:v>
                  </c:pt>
                </c:lvl>
                <c:lvl>
                  <c:pt idx="0">
                    <c:v>J1</c:v>
                  </c:pt>
                </c:lvl>
                <c:lvl>
                  <c:pt idx="0">
                    <c:v>J0</c:v>
                  </c:pt>
                </c:lvl>
              </c:multiLvlStrCache>
            </c:multiLvlStrRef>
          </c:cat>
          <c:val>
            <c:numRef>
              <c:f>'Schema-Empreinte'!$C$23:$H$23</c:f>
              <c:numCache>
                <c:formatCode>#,##0.0</c:formatCode>
                <c:ptCount val="6"/>
                <c:pt idx="0">
                  <c:v>1.40606594085693</c:v>
                </c:pt>
                <c:pt idx="1">
                  <c:v>1.40606594085693</c:v>
                </c:pt>
                <c:pt idx="2">
                  <c:v>1.40606594085693</c:v>
                </c:pt>
                <c:pt idx="3">
                  <c:v>1.40606594085693</c:v>
                </c:pt>
                <c:pt idx="4">
                  <c:v>1.40606594085693</c:v>
                </c:pt>
                <c:pt idx="5">
                  <c:v>1.40606594085693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169435"/>
        <c:axId val="39069731"/>
      </c:lineChart>
      <c:catAx>
        <c:axId val="261694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Jalon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69731"/>
        <c:crosses val="autoZero"/>
        <c:auto val="1"/>
        <c:lblAlgn val="ctr"/>
        <c:lblOffset val="100"/>
        <c:noMultiLvlLbl val="0"/>
      </c:catAx>
      <c:valAx>
        <c:axId val="390697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694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Pression RAM : CRUD seul vs avec IoT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"CRUD seul"</c:f>
              <c:strCache>
                <c:ptCount val="1"/>
                <c:pt idx="0">
                  <c:v>CRUD seul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'Schema-Empreinte'!$C$4:$H$4</c:f>
              <c:multiLvlStrCache>
                <c:ptCount val="1"/>
                <c:lvl>
                  <c:pt idx="0">
                    <c:v>J5</c:v>
                  </c:pt>
                </c:lvl>
                <c:lvl>
                  <c:pt idx="0">
                    <c:v>J4</c:v>
                  </c:pt>
                </c:lvl>
                <c:lvl>
                  <c:pt idx="0">
                    <c:v>J3</c:v>
                  </c:pt>
                </c:lvl>
                <c:lvl>
                  <c:pt idx="0">
                    <c:v>J2</c:v>
                  </c:pt>
                </c:lvl>
                <c:lvl>
                  <c:pt idx="0">
                    <c:v>J1</c:v>
                  </c:pt>
                </c:lvl>
                <c:lvl>
                  <c:pt idx="0">
                    <c:v>J0</c:v>
                  </c:pt>
                </c:lvl>
              </c:multiLvlStrCache>
            </c:multiLvlStrRef>
          </c:cat>
          <c:val>
            <c:numRef>
              <c:f>'Schema-Empreinte'!$C$24:$H$24</c:f>
              <c:numCache>
                <c:formatCode>0.0%</c:formatCode>
                <c:ptCount val="6"/>
                <c:pt idx="0">
                  <c:v>0.00138299351518313</c:v>
                </c:pt>
                <c:pt idx="1">
                  <c:v>0.00501042142153209</c:v>
                </c:pt>
                <c:pt idx="2">
                  <c:v>0.0334028094768806</c:v>
                </c:pt>
                <c:pt idx="3">
                  <c:v>0.310587526714855</c:v>
                </c:pt>
                <c:pt idx="4">
                  <c:v>1.26930676012146</c:v>
                </c:pt>
                <c:pt idx="5">
                  <c:v>2.95937171681135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"Avec IoT"</c:f>
              <c:strCache>
                <c:ptCount val="1"/>
                <c:pt idx="0">
                  <c:v>Avec IoT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'Schema-Empreinte'!$C$4:$H$4</c:f>
              <c:multiLvlStrCache>
                <c:ptCount val="1"/>
                <c:lvl>
                  <c:pt idx="0">
                    <c:v>J5</c:v>
                  </c:pt>
                </c:lvl>
                <c:lvl>
                  <c:pt idx="0">
                    <c:v>J4</c:v>
                  </c:pt>
                </c:lvl>
                <c:lvl>
                  <c:pt idx="0">
                    <c:v>J3</c:v>
                  </c:pt>
                </c:lvl>
                <c:lvl>
                  <c:pt idx="0">
                    <c:v>J2</c:v>
                  </c:pt>
                </c:lvl>
                <c:lvl>
                  <c:pt idx="0">
                    <c:v>J1</c:v>
                  </c:pt>
                </c:lvl>
                <c:lvl>
                  <c:pt idx="0">
                    <c:v>J0</c:v>
                  </c:pt>
                </c:lvl>
              </c:multiLvlStrCache>
            </c:multiLvlStrRef>
          </c:cat>
          <c:val>
            <c:numRef>
              <c:f>'Schema-Empreinte'!$C$42:$H$42</c:f>
              <c:numCache>
                <c:formatCode>0.0%</c:formatCode>
                <c:ptCount val="6"/>
                <c:pt idx="0">
                  <c:v>0.00138299351518313</c:v>
                </c:pt>
                <c:pt idx="1">
                  <c:v>0.00501042142153209</c:v>
                </c:pt>
                <c:pt idx="2">
                  <c:v>0.0334028094768806</c:v>
                </c:pt>
                <c:pt idx="3">
                  <c:v>0.387827454087076</c:v>
                </c:pt>
                <c:pt idx="4">
                  <c:v>1.96446610647146</c:v>
                </c:pt>
                <c:pt idx="5">
                  <c:v>5.276569537978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923126"/>
        <c:axId val="74315748"/>
      </c:lineChart>
      <c:catAx>
        <c:axId val="149231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Jalon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15748"/>
        <c:crosses val="autoZero"/>
        <c:auto val="1"/>
        <c:lblAlgn val="ctr"/>
        <c:lblOffset val="100"/>
        <c:noMultiLvlLbl val="0"/>
      </c:catAx>
      <c:valAx>
        <c:axId val="743157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Pression (×RAM)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231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9</xdr:col>
      <xdr:colOff>609480</xdr:colOff>
      <xdr:row>15</xdr:row>
      <xdr:rowOff>15480</xdr:rowOff>
    </xdr:to>
    <xdr:graphicFrame>
      <xdr:nvGraphicFramePr>
        <xdr:cNvPr id="0" name="Chart 1"/>
        <xdr:cNvGraphicFramePr/>
      </xdr:nvGraphicFramePr>
      <xdr:xfrm>
        <a:off x="0" y="0"/>
        <a:ext cx="6113160" cy="287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17</xdr:row>
      <xdr:rowOff>0</xdr:rowOff>
    </xdr:from>
    <xdr:to>
      <xdr:col>9</xdr:col>
      <xdr:colOff>609480</xdr:colOff>
      <xdr:row>32</xdr:row>
      <xdr:rowOff>15840</xdr:rowOff>
    </xdr:to>
    <xdr:graphicFrame>
      <xdr:nvGraphicFramePr>
        <xdr:cNvPr id="1" name="Chart 2"/>
        <xdr:cNvGraphicFramePr/>
      </xdr:nvGraphicFramePr>
      <xdr:xfrm>
        <a:off x="0" y="3238560"/>
        <a:ext cx="6113160" cy="287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0</xdr:row>
      <xdr:rowOff>0</xdr:rowOff>
    </xdr:from>
    <xdr:to>
      <xdr:col>20</xdr:col>
      <xdr:colOff>609480</xdr:colOff>
      <xdr:row>15</xdr:row>
      <xdr:rowOff>15480</xdr:rowOff>
    </xdr:to>
    <xdr:graphicFrame>
      <xdr:nvGraphicFramePr>
        <xdr:cNvPr id="2" name="Chart 3"/>
        <xdr:cNvGraphicFramePr/>
      </xdr:nvGraphicFramePr>
      <xdr:xfrm>
        <a:off x="6726600" y="0"/>
        <a:ext cx="6113160" cy="287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17</xdr:row>
      <xdr:rowOff>0</xdr:rowOff>
    </xdr:from>
    <xdr:to>
      <xdr:col>20</xdr:col>
      <xdr:colOff>609480</xdr:colOff>
      <xdr:row>32</xdr:row>
      <xdr:rowOff>15840</xdr:rowOff>
    </xdr:to>
    <xdr:graphicFrame>
      <xdr:nvGraphicFramePr>
        <xdr:cNvPr id="3" name="Chart 4"/>
        <xdr:cNvGraphicFramePr/>
      </xdr:nvGraphicFramePr>
      <xdr:xfrm>
        <a:off x="6726600" y="3238560"/>
        <a:ext cx="6113160" cy="287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9</xdr:col>
      <xdr:colOff>610560</xdr:colOff>
      <xdr:row>49</xdr:row>
      <xdr:rowOff>16920</xdr:rowOff>
    </xdr:to>
    <xdr:graphicFrame>
      <xdr:nvGraphicFramePr>
        <xdr:cNvPr id="4" name="Chart 5"/>
        <xdr:cNvGraphicFramePr/>
      </xdr:nvGraphicFramePr>
      <xdr:xfrm>
        <a:off x="0" y="6477120"/>
        <a:ext cx="6114240" cy="287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34</xdr:row>
      <xdr:rowOff>0</xdr:rowOff>
    </xdr:from>
    <xdr:to>
      <xdr:col>21</xdr:col>
      <xdr:colOff>360360</xdr:colOff>
      <xdr:row>50</xdr:row>
      <xdr:rowOff>187560</xdr:rowOff>
    </xdr:to>
    <xdr:graphicFrame>
      <xdr:nvGraphicFramePr>
        <xdr:cNvPr id="5" name="Chart 6"/>
        <xdr:cNvGraphicFramePr/>
      </xdr:nvGraphicFramePr>
      <xdr:xfrm>
        <a:off x="6726600" y="6477120"/>
        <a:ext cx="647532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0</xdr:colOff>
      <xdr:row>51</xdr:row>
      <xdr:rowOff>0</xdr:rowOff>
    </xdr:from>
    <xdr:to>
      <xdr:col>21</xdr:col>
      <xdr:colOff>360720</xdr:colOff>
      <xdr:row>66</xdr:row>
      <xdr:rowOff>18360</xdr:rowOff>
    </xdr:to>
    <xdr:graphicFrame>
      <xdr:nvGraphicFramePr>
        <xdr:cNvPr id="6" name="Chart 7"/>
        <xdr:cNvGraphicFramePr/>
      </xdr:nvGraphicFramePr>
      <xdr:xfrm>
        <a:off x="6726600" y="9715680"/>
        <a:ext cx="6475680" cy="287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68</xdr:row>
      <xdr:rowOff>0</xdr:rowOff>
    </xdr:from>
    <xdr:to>
      <xdr:col>10</xdr:col>
      <xdr:colOff>1440</xdr:colOff>
      <xdr:row>83</xdr:row>
      <xdr:rowOff>18720</xdr:rowOff>
    </xdr:to>
    <xdr:graphicFrame>
      <xdr:nvGraphicFramePr>
        <xdr:cNvPr id="7" name="Chart 8"/>
        <xdr:cNvGraphicFramePr/>
      </xdr:nvGraphicFramePr>
      <xdr:xfrm>
        <a:off x="0" y="12953880"/>
        <a:ext cx="6116400" cy="287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11</xdr:col>
      <xdr:colOff>0</xdr:colOff>
      <xdr:row>68</xdr:row>
      <xdr:rowOff>0</xdr:rowOff>
    </xdr:from>
    <xdr:to>
      <xdr:col>21</xdr:col>
      <xdr:colOff>1800</xdr:colOff>
      <xdr:row>83</xdr:row>
      <xdr:rowOff>19080</xdr:rowOff>
    </xdr:to>
    <xdr:graphicFrame>
      <xdr:nvGraphicFramePr>
        <xdr:cNvPr id="8" name="Chart 9"/>
        <xdr:cNvGraphicFramePr/>
      </xdr:nvGraphicFramePr>
      <xdr:xfrm>
        <a:off x="6726600" y="12953880"/>
        <a:ext cx="6116760" cy="287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0"/>
  </cols>
  <sheetData>
    <row r="1" customFormat="false" ht="15.75" hidden="false" customHeight="true" outlineLevel="0" collapsed="false">
      <c r="B1" s="2" t="s">
        <v>0</v>
      </c>
    </row>
    <row r="3" customFormat="false" ht="15" hidden="false" customHeight="true" outlineLevel="0" collapsed="false">
      <c r="B3" s="3" t="s">
        <v>1</v>
      </c>
    </row>
    <row r="4" customFormat="false" ht="41.25" hidden="false" customHeight="true" outlineLevel="0" collapsed="false">
      <c r="B4" s="4" t="s">
        <v>2</v>
      </c>
    </row>
    <row r="6" customFormat="false" ht="15" hidden="false" customHeight="true" outlineLevel="0" collapsed="false">
      <c r="B6" s="3" t="s">
        <v>3</v>
      </c>
    </row>
    <row r="7" customFormat="false" ht="41.25" hidden="false" customHeight="true" outlineLevel="0" collapsed="false">
      <c r="B7" s="4" t="s">
        <v>4</v>
      </c>
    </row>
    <row r="9" customFormat="false" ht="15" hidden="false" customHeight="true" outlineLevel="0" collapsed="false">
      <c r="B9" s="3" t="s">
        <v>5</v>
      </c>
    </row>
    <row r="10" customFormat="false" ht="15" hidden="false" customHeight="true" outlineLevel="0" collapsed="false">
      <c r="B10" s="4" t="s">
        <v>6</v>
      </c>
    </row>
    <row r="11" customFormat="false" ht="15" hidden="false" customHeight="true" outlineLevel="0" collapsed="false">
      <c r="B11" s="4" t="s">
        <v>7</v>
      </c>
    </row>
    <row r="12" customFormat="false" ht="15" hidden="false" customHeight="true" outlineLevel="0" collapsed="false">
      <c r="B12" s="4" t="s">
        <v>8</v>
      </c>
    </row>
    <row r="14" customFormat="false" ht="15" hidden="false" customHeight="true" outlineLevel="0" collapsed="false">
      <c r="B14" s="3" t="s">
        <v>9</v>
      </c>
    </row>
    <row r="15" customFormat="false" ht="41.25" hidden="false" customHeight="true" outlineLevel="0" collapsed="false">
      <c r="B15" s="4" t="s">
        <v>10</v>
      </c>
    </row>
    <row r="16" customFormat="false" ht="27.75" hidden="false" customHeight="true" outlineLevel="0" collapsed="false">
      <c r="B16" s="4" t="s">
        <v>11</v>
      </c>
    </row>
    <row r="18" customFormat="false" ht="15" hidden="false" customHeight="true" outlineLevel="0" collapsed="false">
      <c r="B18" s="3" t="s">
        <v>12</v>
      </c>
    </row>
    <row r="19" customFormat="false" ht="27.75" hidden="false" customHeight="true" outlineLevel="0" collapsed="false">
      <c r="B19" s="4" t="s">
        <v>13</v>
      </c>
    </row>
    <row r="21" customFormat="false" ht="15" hidden="false" customHeight="true" outlineLevel="0" collapsed="false">
      <c r="B21" s="3" t="s">
        <v>14</v>
      </c>
    </row>
    <row r="22" customFormat="false" ht="41.25" hidden="false" customHeight="true" outlineLevel="0" collapsed="false">
      <c r="B22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62"/>
  </cols>
  <sheetData>
    <row r="1" customFormat="false" ht="15.75" hidden="false" customHeight="true" outlineLevel="0" collapsed="false">
      <c r="A1" s="5" t="s">
        <v>16</v>
      </c>
    </row>
    <row r="3" customFormat="false" ht="15" hidden="false" customHeight="true" outlineLevel="0" collapsed="false">
      <c r="A3" s="6" t="s">
        <v>17</v>
      </c>
      <c r="B3" s="7"/>
      <c r="C3" s="7"/>
      <c r="D3" s="7"/>
    </row>
    <row r="4" customFormat="false" ht="15" hidden="false" customHeight="true" outlineLevel="0" collapsed="false">
      <c r="A4" s="8" t="s">
        <v>18</v>
      </c>
      <c r="B4" s="9" t="n">
        <v>2500</v>
      </c>
      <c r="C4" s="10" t="s">
        <v>19</v>
      </c>
      <c r="D4" s="11" t="s">
        <v>20</v>
      </c>
    </row>
    <row r="5" customFormat="false" ht="15" hidden="false" customHeight="true" outlineLevel="0" collapsed="false">
      <c r="A5" s="8" t="s">
        <v>21</v>
      </c>
      <c r="B5" s="12" t="n">
        <v>0.027</v>
      </c>
      <c r="C5" s="10" t="s">
        <v>22</v>
      </c>
      <c r="D5" s="11" t="s">
        <v>23</v>
      </c>
    </row>
    <row r="6" customFormat="false" ht="15" hidden="false" customHeight="true" outlineLevel="0" collapsed="false">
      <c r="A6" s="8" t="s">
        <v>24</v>
      </c>
      <c r="B6" s="12" t="n">
        <v>0.12</v>
      </c>
      <c r="C6" s="10" t="s">
        <v>25</v>
      </c>
      <c r="D6" s="11" t="s">
        <v>26</v>
      </c>
    </row>
    <row r="8" customFormat="false" ht="15" hidden="false" customHeight="true" outlineLevel="0" collapsed="false">
      <c r="A8" s="6" t="s">
        <v>27</v>
      </c>
      <c r="B8" s="7"/>
      <c r="C8" s="7"/>
      <c r="D8" s="7"/>
    </row>
    <row r="9" customFormat="false" ht="15" hidden="false" customHeight="true" outlineLevel="0" collapsed="false">
      <c r="A9" s="8" t="s">
        <v>28</v>
      </c>
      <c r="B9" s="12" t="n">
        <v>7.02</v>
      </c>
      <c r="C9" s="10" t="s">
        <v>29</v>
      </c>
      <c r="D9" s="11" t="s">
        <v>30</v>
      </c>
    </row>
    <row r="10" customFormat="false" ht="15" hidden="false" customHeight="true" outlineLevel="0" collapsed="false">
      <c r="A10" s="8" t="s">
        <v>31</v>
      </c>
      <c r="B10" s="12" t="n">
        <v>0.1</v>
      </c>
      <c r="C10" s="10" t="s">
        <v>22</v>
      </c>
      <c r="D10" s="11" t="s">
        <v>32</v>
      </c>
    </row>
    <row r="11" customFormat="false" ht="15" hidden="false" customHeight="true" outlineLevel="0" collapsed="false">
      <c r="A11" s="8" t="s">
        <v>33</v>
      </c>
      <c r="B11" s="13" t="n">
        <v>40</v>
      </c>
      <c r="C11" s="10" t="s">
        <v>22</v>
      </c>
      <c r="D11" s="11" t="s">
        <v>34</v>
      </c>
    </row>
    <row r="12" customFormat="false" ht="15" hidden="false" customHeight="true" outlineLevel="0" collapsed="false">
      <c r="A12" s="8" t="s">
        <v>35</v>
      </c>
      <c r="B12" s="14" t="n">
        <v>3000</v>
      </c>
      <c r="C12" s="10" t="s">
        <v>19</v>
      </c>
      <c r="D12" s="11" t="s">
        <v>36</v>
      </c>
    </row>
    <row r="13" customFormat="false" ht="15" hidden="false" customHeight="true" outlineLevel="0" collapsed="false">
      <c r="A13" s="8" t="s">
        <v>37</v>
      </c>
      <c r="B13" s="12" t="n">
        <v>2</v>
      </c>
      <c r="C13" s="10" t="s">
        <v>38</v>
      </c>
      <c r="D13" s="11" t="s">
        <v>39</v>
      </c>
    </row>
    <row r="15" customFormat="false" ht="15" hidden="false" customHeight="true" outlineLevel="0" collapsed="false">
      <c r="A15" s="6" t="s">
        <v>40</v>
      </c>
      <c r="B15" s="7"/>
      <c r="C15" s="7"/>
      <c r="D15" s="7"/>
    </row>
    <row r="16" customFormat="false" ht="15" hidden="false" customHeight="true" outlineLevel="0" collapsed="false">
      <c r="A16" s="8" t="s">
        <v>41</v>
      </c>
      <c r="B16" s="15" t="n">
        <v>0.4</v>
      </c>
      <c r="C16" s="10" t="s">
        <v>42</v>
      </c>
      <c r="D16" s="11" t="s">
        <v>43</v>
      </c>
    </row>
    <row r="17" customFormat="false" ht="15" hidden="false" customHeight="true" outlineLevel="0" collapsed="false">
      <c r="A17" s="8" t="s">
        <v>44</v>
      </c>
      <c r="B17" s="12" t="n">
        <v>5</v>
      </c>
      <c r="C17" s="10" t="s">
        <v>22</v>
      </c>
      <c r="D17" s="11" t="s">
        <v>45</v>
      </c>
    </row>
    <row r="18" customFormat="false" ht="15" hidden="false" customHeight="true" outlineLevel="0" collapsed="false">
      <c r="A18" s="8" t="s">
        <v>46</v>
      </c>
      <c r="B18" s="12" t="n">
        <v>0</v>
      </c>
      <c r="C18" s="10" t="s">
        <v>22</v>
      </c>
      <c r="D18" s="11" t="s">
        <v>47</v>
      </c>
    </row>
    <row r="20" customFormat="false" ht="15" hidden="false" customHeight="true" outlineLevel="0" collapsed="false">
      <c r="A20" s="6" t="s">
        <v>48</v>
      </c>
      <c r="B20" s="7"/>
      <c r="C20" s="7"/>
      <c r="D20" s="7"/>
    </row>
    <row r="21" customFormat="false" ht="15" hidden="false" customHeight="true" outlineLevel="0" collapsed="false">
      <c r="A21" s="8" t="s">
        <v>49</v>
      </c>
      <c r="B21" s="12" t="n">
        <v>0.85</v>
      </c>
      <c r="C21" s="10" t="s">
        <v>50</v>
      </c>
      <c r="D21" s="11" t="s">
        <v>51</v>
      </c>
    </row>
    <row r="22" customFormat="false" ht="15" hidden="false" customHeight="true" outlineLevel="0" collapsed="false">
      <c r="A22" s="8" t="s">
        <v>52</v>
      </c>
      <c r="B22" s="12" t="n">
        <v>2.55</v>
      </c>
      <c r="C22" s="10" t="s">
        <v>50</v>
      </c>
      <c r="D22" s="11" t="s">
        <v>51</v>
      </c>
    </row>
    <row r="23" customFormat="false" ht="15" hidden="false" customHeight="true" outlineLevel="0" collapsed="false">
      <c r="A23" s="8" t="s">
        <v>53</v>
      </c>
      <c r="B23" s="9" t="n">
        <v>60000</v>
      </c>
      <c r="C23" s="10" t="s">
        <v>54</v>
      </c>
      <c r="D23" s="11" t="s">
        <v>55</v>
      </c>
    </row>
    <row r="24" customFormat="false" ht="15" hidden="false" customHeight="true" outlineLevel="0" collapsed="false">
      <c r="A24" s="8" t="s">
        <v>56</v>
      </c>
      <c r="B24" s="9" t="n">
        <v>15000</v>
      </c>
      <c r="C24" s="10" t="s">
        <v>54</v>
      </c>
      <c r="D24" s="11" t="s">
        <v>57</v>
      </c>
    </row>
    <row r="25" customFormat="false" ht="15" hidden="false" customHeight="true" outlineLevel="0" collapsed="false">
      <c r="A25" s="8" t="s">
        <v>58</v>
      </c>
      <c r="B25" s="13" t="n">
        <v>6</v>
      </c>
      <c r="C25" s="10" t="s">
        <v>59</v>
      </c>
      <c r="D25" s="11" t="s">
        <v>60</v>
      </c>
    </row>
    <row r="26" customFormat="false" ht="15" hidden="false" customHeight="true" outlineLevel="0" collapsed="false">
      <c r="A26" s="8" t="s">
        <v>61</v>
      </c>
      <c r="B26" s="12" t="n">
        <v>0.7</v>
      </c>
      <c r="C26" s="10" t="s">
        <v>62</v>
      </c>
      <c r="D26" s="11" t="s">
        <v>63</v>
      </c>
    </row>
    <row r="27" customFormat="false" ht="15" hidden="false" customHeight="true" outlineLevel="0" collapsed="false">
      <c r="A27" s="8" t="s">
        <v>64</v>
      </c>
      <c r="B27" s="13" t="n">
        <v>700</v>
      </c>
      <c r="C27" s="10" t="s">
        <v>65</v>
      </c>
      <c r="D27" s="11" t="s">
        <v>66</v>
      </c>
    </row>
    <row r="28" customFormat="false" ht="15" hidden="false" customHeight="true" outlineLevel="0" collapsed="false">
      <c r="A28" s="8" t="s">
        <v>67</v>
      </c>
      <c r="B28" s="13" t="n">
        <v>3</v>
      </c>
      <c r="C28" s="10" t="s">
        <v>68</v>
      </c>
      <c r="D28" s="11" t="s">
        <v>69</v>
      </c>
    </row>
    <row r="30" customFormat="false" ht="15" hidden="false" customHeight="true" outlineLevel="0" collapsed="false">
      <c r="A30" s="6" t="s">
        <v>70</v>
      </c>
      <c r="B30" s="7"/>
      <c r="C30" s="7"/>
      <c r="D30" s="7"/>
    </row>
    <row r="31" customFormat="false" ht="15" hidden="false" customHeight="true" outlineLevel="0" collapsed="false">
      <c r="A31" s="8" t="s">
        <v>71</v>
      </c>
      <c r="B31" s="15" t="n">
        <v>0.18</v>
      </c>
      <c r="C31" s="10" t="s">
        <v>72</v>
      </c>
      <c r="D31" s="11" t="s">
        <v>73</v>
      </c>
    </row>
    <row r="32" customFormat="false" ht="15" hidden="false" customHeight="true" outlineLevel="0" collapsed="false">
      <c r="A32" s="8" t="s">
        <v>74</v>
      </c>
      <c r="B32" s="13" t="n">
        <v>2</v>
      </c>
      <c r="C32" s="10" t="s">
        <v>75</v>
      </c>
      <c r="D32" s="11" t="s">
        <v>76</v>
      </c>
    </row>
    <row r="33" customFormat="false" ht="15" hidden="false" customHeight="true" outlineLevel="0" collapsed="false">
      <c r="A33" s="8" t="s">
        <v>77</v>
      </c>
      <c r="B33" s="12" t="n">
        <v>15</v>
      </c>
      <c r="C33" s="10" t="s">
        <v>22</v>
      </c>
      <c r="D33" s="11" t="s">
        <v>78</v>
      </c>
    </row>
    <row r="35" customFormat="false" ht="15" hidden="false" customHeight="true" outlineLevel="0" collapsed="false">
      <c r="A35" s="6" t="s">
        <v>79</v>
      </c>
      <c r="B35" s="7"/>
      <c r="C35" s="7"/>
      <c r="D35" s="7"/>
    </row>
    <row r="36" customFormat="false" ht="15" hidden="false" customHeight="true" outlineLevel="0" collapsed="false">
      <c r="A36" s="8" t="s">
        <v>80</v>
      </c>
      <c r="B36" s="13" t="n">
        <v>240</v>
      </c>
      <c r="C36" s="10" t="s">
        <v>81</v>
      </c>
      <c r="D36" s="11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" min="3" style="1" width="13"/>
  </cols>
  <sheetData>
    <row r="1" customFormat="false" ht="15.75" hidden="false" customHeight="true" outlineLevel="0" collapsed="false">
      <c r="A1" s="5" t="s">
        <v>83</v>
      </c>
    </row>
    <row r="2" customFormat="false" ht="15" hidden="false" customHeight="true" outlineLevel="0" collapsed="false">
      <c r="A2" s="6" t="s">
        <v>84</v>
      </c>
      <c r="C2" s="16" t="s">
        <v>85</v>
      </c>
      <c r="D2" s="16" t="s">
        <v>86</v>
      </c>
      <c r="E2" s="16" t="s">
        <v>87</v>
      </c>
      <c r="F2" s="16" t="s">
        <v>88</v>
      </c>
      <c r="G2" s="16" t="s">
        <v>89</v>
      </c>
      <c r="H2" s="16" t="s">
        <v>90</v>
      </c>
    </row>
    <row r="3" customFormat="false" ht="15" hidden="false" customHeight="true" outlineLevel="0" collapsed="false">
      <c r="A3" s="17" t="s">
        <v>91</v>
      </c>
      <c r="B3" s="18"/>
      <c r="C3" s="19" t="n">
        <f aca="false">Scenarios!C38</f>
        <v>0</v>
      </c>
      <c r="D3" s="19" t="n">
        <f aca="false">Scenarios!D38</f>
        <v>3</v>
      </c>
      <c r="E3" s="19" t="n">
        <f aca="false">Scenarios!E38</f>
        <v>9</v>
      </c>
      <c r="F3" s="19" t="n">
        <f aca="false">Scenarios!F38</f>
        <v>24</v>
      </c>
      <c r="G3" s="19" t="n">
        <f aca="false">Scenarios!G38</f>
        <v>36</v>
      </c>
      <c r="H3" s="19" t="n">
        <f aca="false">Scenarios!H38</f>
        <v>54</v>
      </c>
    </row>
    <row r="4" customFormat="false" ht="15" hidden="false" customHeight="true" outlineLevel="0" collapsed="false">
      <c r="A4" s="8" t="s">
        <v>92</v>
      </c>
      <c r="C4" s="20" t="n">
        <f aca="false">C3</f>
        <v>0</v>
      </c>
      <c r="D4" s="20" t="n">
        <f aca="false">D3-C3</f>
        <v>3</v>
      </c>
      <c r="E4" s="20" t="n">
        <f aca="false">E3-D3</f>
        <v>6</v>
      </c>
      <c r="F4" s="20" t="n">
        <f aca="false">F3-E3</f>
        <v>15</v>
      </c>
      <c r="G4" s="20" t="n">
        <f aca="false">G3-F3</f>
        <v>12</v>
      </c>
      <c r="H4" s="20" t="n">
        <f aca="false">H3-G3</f>
        <v>18</v>
      </c>
    </row>
    <row r="5" customFormat="false" ht="15" hidden="false" customHeight="true" outlineLevel="0" collapsed="false">
      <c r="A5" s="17" t="s">
        <v>93</v>
      </c>
      <c r="B5" s="18"/>
      <c r="C5" s="19" t="n">
        <f aca="false">Scenarios!C9</f>
        <v>20</v>
      </c>
      <c r="D5" s="19" t="n">
        <f aca="false">Scenarios!D9</f>
        <v>50</v>
      </c>
      <c r="E5" s="19" t="n">
        <f aca="false">Scenarios!E9</f>
        <v>200</v>
      </c>
      <c r="F5" s="19" t="n">
        <f aca="false">Scenarios!F9</f>
        <v>1000</v>
      </c>
      <c r="G5" s="19" t="n">
        <f aca="false">Scenarios!G9</f>
        <v>3000</v>
      </c>
      <c r="H5" s="19" t="n">
        <f aca="false">Scenarios!H9</f>
        <v>5000</v>
      </c>
    </row>
    <row r="6" customFormat="false" ht="15" hidden="false" customHeight="true" outlineLevel="0" collapsed="false">
      <c r="A6" s="17" t="s">
        <v>94</v>
      </c>
      <c r="B6" s="18"/>
      <c r="C6" s="19" t="n">
        <f aca="false">Scenarios!C18</f>
        <v>103</v>
      </c>
      <c r="D6" s="19" t="n">
        <f aca="false">Scenarios!D18</f>
        <v>25</v>
      </c>
      <c r="E6" s="19" t="n">
        <f aca="false">Scenarios!E18</f>
        <v>29</v>
      </c>
      <c r="F6" s="19" t="n">
        <f aca="false">Scenarios!F18</f>
        <v>25</v>
      </c>
      <c r="G6" s="19" t="n">
        <f aca="false">Scenarios!G18</f>
        <v>16</v>
      </c>
      <c r="H6" s="19" t="n">
        <f aca="false">Scenarios!H18</f>
        <v>8</v>
      </c>
    </row>
    <row r="7" customFormat="false" ht="15" hidden="false" customHeight="true" outlineLevel="0" collapsed="false">
      <c r="A7" s="21" t="s">
        <v>95</v>
      </c>
      <c r="B7" s="22"/>
      <c r="C7" s="22"/>
      <c r="D7" s="22"/>
      <c r="E7" s="22"/>
      <c r="F7" s="22"/>
      <c r="G7" s="22"/>
      <c r="H7" s="22"/>
    </row>
    <row r="8" customFormat="false" ht="15" hidden="false" customHeight="true" outlineLevel="0" collapsed="false">
      <c r="A8" s="8" t="s">
        <v>96</v>
      </c>
      <c r="C8" s="20" t="n">
        <f aca="false">C5*Hypotheses!$B$16</f>
        <v>8</v>
      </c>
      <c r="D8" s="20" t="n">
        <f aca="false">D5*Hypotheses!$B$16</f>
        <v>20</v>
      </c>
      <c r="E8" s="20" t="n">
        <f aca="false">E5*Hypotheses!$B$16</f>
        <v>80</v>
      </c>
      <c r="F8" s="20" t="n">
        <f aca="false">F5*Hypotheses!$B$16</f>
        <v>400</v>
      </c>
      <c r="G8" s="20" t="n">
        <f aca="false">G5*Hypotheses!$B$16</f>
        <v>1200</v>
      </c>
      <c r="H8" s="20" t="n">
        <f aca="false">H5*Hypotheses!$B$16</f>
        <v>2000</v>
      </c>
    </row>
    <row r="9" customFormat="false" ht="15" hidden="false" customHeight="true" outlineLevel="0" collapsed="false">
      <c r="A9" s="8" t="s">
        <v>97</v>
      </c>
      <c r="C9" s="20" t="n">
        <f aca="false">CEILING(C8/(Hypotheses!$B$4*CHOOSE(C44,1,'Compute-Stack'!$B$38,'Compute-Stack'!$B$39)),1)</f>
        <v>1</v>
      </c>
      <c r="D9" s="20" t="n">
        <f aca="false">CEILING(D8/(Hypotheses!$B$4*CHOOSE(D44,1,'Compute-Stack'!$B$38,'Compute-Stack'!$B$39)),1)</f>
        <v>1</v>
      </c>
      <c r="E9" s="20" t="n">
        <f aca="false">CEILING(E8/(Hypotheses!$B$4*CHOOSE(E44,1,'Compute-Stack'!$B$38,'Compute-Stack'!$B$39)),1)</f>
        <v>1</v>
      </c>
      <c r="F9" s="20" t="n">
        <f aca="false">CEILING(F8/(Hypotheses!$B$4*CHOOSE(F44,1,'Compute-Stack'!$B$38,'Compute-Stack'!$B$39)),1)</f>
        <v>1</v>
      </c>
      <c r="G9" s="20" t="n">
        <f aca="false">CEILING(G8/(Hypotheses!$B$4*CHOOSE(G44,1,'Compute-Stack'!$B$38,'Compute-Stack'!$B$39)),1)</f>
        <v>1</v>
      </c>
      <c r="H9" s="20" t="n">
        <f aca="false">CEILING(H8/(Hypotheses!$B$4*CHOOSE(H44,1,'Compute-Stack'!$B$38,'Compute-Stack'!$B$39)),1)</f>
        <v>1</v>
      </c>
    </row>
    <row r="10" customFormat="false" ht="15" hidden="false" customHeight="true" outlineLevel="0" collapsed="false">
      <c r="A10" s="8" t="s">
        <v>98</v>
      </c>
      <c r="C10" s="20" t="n">
        <f aca="false">CHOOSE(C44,1,'Compute-Stack'!$B$40,'Compute-Stack'!$B$41)</f>
        <v>1</v>
      </c>
      <c r="D10" s="20" t="n">
        <f aca="false">CHOOSE(D44,1,'Compute-Stack'!$B$40,'Compute-Stack'!$B$41)</f>
        <v>1</v>
      </c>
      <c r="E10" s="20" t="n">
        <f aca="false">CHOOSE(E44,1,'Compute-Stack'!$B$40,'Compute-Stack'!$B$41)</f>
        <v>1</v>
      </c>
      <c r="F10" s="20" t="n">
        <f aca="false">CHOOSE(F44,1,'Compute-Stack'!$B$40,'Compute-Stack'!$B$41)</f>
        <v>1</v>
      </c>
      <c r="G10" s="20" t="n">
        <f aca="false">CHOOSE(G44,1,'Compute-Stack'!$B$40,'Compute-Stack'!$B$41)</f>
        <v>2</v>
      </c>
      <c r="H10" s="20" t="n">
        <f aca="false">CHOOSE(H44,1,'Compute-Stack'!$B$40,'Compute-Stack'!$B$41)</f>
        <v>2</v>
      </c>
    </row>
    <row r="11" customFormat="false" ht="15" hidden="false" customHeight="true" outlineLevel="0" collapsed="false">
      <c r="A11" s="8" t="s">
        <v>99</v>
      </c>
      <c r="C11" s="23" t="n">
        <f aca="false">C9*C10*Hypotheses!$B$9+Hypotheses!$B$10+CHOOSE(C44,0,'Compute-Stack'!$B$42,'Compute-Stack'!$B$43)</f>
        <v>7.12</v>
      </c>
      <c r="D11" s="23" t="n">
        <f aca="false">D9*D10*Hypotheses!$B$9+Hypotheses!$B$10+CHOOSE(D44,0,'Compute-Stack'!$B$42,'Compute-Stack'!$B$43)</f>
        <v>7.12</v>
      </c>
      <c r="E11" s="23" t="n">
        <f aca="false">E9*E10*Hypotheses!$B$9+Hypotheses!$B$10+CHOOSE(E44,0,'Compute-Stack'!$B$42,'Compute-Stack'!$B$43)</f>
        <v>7.12</v>
      </c>
      <c r="F11" s="23" t="n">
        <f aca="false">F9*F10*Hypotheses!$B$9+Hypotheses!$B$10+CHOOSE(F44,0,'Compute-Stack'!$B$42,'Compute-Stack'!$B$43)</f>
        <v>7.12</v>
      </c>
      <c r="G11" s="23" t="n">
        <f aca="false">G9*G10*Hypotheses!$B$9+Hypotheses!$B$10+CHOOSE(G44,0,'Compute-Stack'!$B$42,'Compute-Stack'!$B$43)</f>
        <v>55.14</v>
      </c>
      <c r="H11" s="23" t="n">
        <f aca="false">H9*H10*Hypotheses!$B$9+Hypotheses!$B$10+CHOOSE(H44,0,'Compute-Stack'!$B$42,'Compute-Stack'!$B$43)</f>
        <v>55.14</v>
      </c>
    </row>
    <row r="12" customFormat="false" ht="15" hidden="false" customHeight="true" outlineLevel="0" collapsed="false">
      <c r="A12" s="8" t="s">
        <v>100</v>
      </c>
      <c r="C12" s="23" t="n">
        <f aca="false">C8*Hypotheses!$B$5*CHOOSE(C44,1,1,'Compute-Stack'!$B$44)</f>
        <v>0.216</v>
      </c>
      <c r="D12" s="23" t="n">
        <f aca="false">D8*Hypotheses!$B$5*CHOOSE(D44,1,1,'Compute-Stack'!$B$44)</f>
        <v>0.54</v>
      </c>
      <c r="E12" s="23" t="n">
        <f aca="false">E8*Hypotheses!$B$5*CHOOSE(E44,1,1,'Compute-Stack'!$B$44)</f>
        <v>2.16</v>
      </c>
      <c r="F12" s="23" t="n">
        <f aca="false">F8*Hypotheses!$B$5*CHOOSE(F44,1,1,'Compute-Stack'!$B$44)</f>
        <v>10.8</v>
      </c>
      <c r="G12" s="23" t="n">
        <f aca="false">G8*Hypotheses!$B$5*CHOOSE(G44,1,1,'Compute-Stack'!$B$44)</f>
        <v>64.8</v>
      </c>
      <c r="H12" s="23" t="n">
        <f aca="false">H8*Hypotheses!$B$5*CHOOSE(H44,1,1,'Compute-Stack'!$B$44)</f>
        <v>108</v>
      </c>
    </row>
    <row r="13" customFormat="false" ht="15" hidden="false" customHeight="true" outlineLevel="0" collapsed="false">
      <c r="A13" s="24" t="s">
        <v>101</v>
      </c>
      <c r="C13" s="25" t="n">
        <f aca="false">C11+C12</f>
        <v>7.336</v>
      </c>
      <c r="D13" s="25" t="n">
        <f aca="false">D11+D12</f>
        <v>7.66</v>
      </c>
      <c r="E13" s="25" t="n">
        <f aca="false">E11+E12</f>
        <v>9.28</v>
      </c>
      <c r="F13" s="25" t="n">
        <f aca="false">F11+F12</f>
        <v>17.92</v>
      </c>
      <c r="G13" s="25" t="n">
        <f aca="false">G11+G12</f>
        <v>119.94</v>
      </c>
      <c r="H13" s="25" t="n">
        <f aca="false">H11+H12</f>
        <v>163.14</v>
      </c>
    </row>
    <row r="14" customFormat="false" ht="15" hidden="false" customHeight="true" outlineLevel="0" collapsed="false">
      <c r="A14" s="8" t="s">
        <v>102</v>
      </c>
      <c r="C14" s="26" t="str">
        <f aca="false">"—"</f>
        <v>—</v>
      </c>
      <c r="D14" s="26" t="n">
        <f aca="false">8</f>
        <v>8</v>
      </c>
      <c r="E14" s="26" t="n">
        <f aca="false">13</f>
        <v>13</v>
      </c>
      <c r="F14" s="26" t="n">
        <f aca="false">18</f>
        <v>18</v>
      </c>
      <c r="G14" s="26" t="str">
        <f aca="false">"—"</f>
        <v>—</v>
      </c>
      <c r="H14" s="26" t="n">
        <f aca="false">163</f>
        <v>163</v>
      </c>
    </row>
    <row r="15" customFormat="false" ht="15" hidden="false" customHeight="true" outlineLevel="0" collapsed="false">
      <c r="A15" s="21" t="s">
        <v>103</v>
      </c>
      <c r="B15" s="22"/>
      <c r="C15" s="22"/>
      <c r="D15" s="22"/>
      <c r="E15" s="22"/>
      <c r="F15" s="22"/>
      <c r="G15" s="22"/>
      <c r="H15" s="22"/>
    </row>
    <row r="16" customFormat="false" ht="15" hidden="false" customHeight="true" outlineLevel="0" collapsed="false">
      <c r="A16" s="8" t="s">
        <v>104</v>
      </c>
      <c r="C16" s="23" t="n">
        <f aca="false">(Hypotheses!$B$23*Hypotheses!$B$21+Hypotheses!$B$24*Hypotheses!$B$22)/1000000</f>
        <v>0.08925</v>
      </c>
      <c r="D16" s="23" t="n">
        <f aca="false">(Hypotheses!$B$23*Hypotheses!$B$21+Hypotheses!$B$24*Hypotheses!$B$22)/1000000</f>
        <v>0.08925</v>
      </c>
      <c r="E16" s="23" t="n">
        <f aca="false">(Hypotheses!$B$23*Hypotheses!$B$21+Hypotheses!$B$24*Hypotheses!$B$22)/1000000</f>
        <v>0.08925</v>
      </c>
      <c r="F16" s="23" t="n">
        <f aca="false">(Hypotheses!$B$23*Hypotheses!$B$21+Hypotheses!$B$24*Hypotheses!$B$22)/1000000</f>
        <v>0.08925</v>
      </c>
      <c r="G16" s="23" t="n">
        <f aca="false">(Hypotheses!$B$23*Hypotheses!$B$21+Hypotheses!$B$24*Hypotheses!$B$22)/1000000</f>
        <v>0.08925</v>
      </c>
      <c r="H16" s="23" t="n">
        <f aca="false">(Hypotheses!$B$23*Hypotheses!$B$21+Hypotheses!$B$24*Hypotheses!$B$22)/1000000</f>
        <v>0.08925</v>
      </c>
    </row>
    <row r="17" customFormat="false" ht="15" hidden="false" customHeight="true" outlineLevel="0" collapsed="false">
      <c r="A17" s="8" t="s">
        <v>105</v>
      </c>
      <c r="C17" s="23" t="n">
        <f aca="false">C6*Hypotheses!$B$25*C16</f>
        <v>55.1565</v>
      </c>
      <c r="D17" s="23" t="n">
        <f aca="false">D6*Hypotheses!$B$25*D16</f>
        <v>13.3875</v>
      </c>
      <c r="E17" s="23" t="n">
        <f aca="false">E6*Hypotheses!$B$25*E16</f>
        <v>15.5295</v>
      </c>
      <c r="F17" s="23" t="n">
        <f aca="false">F6*Hypotheses!$B$25*F16</f>
        <v>13.3875</v>
      </c>
      <c r="G17" s="23" t="n">
        <f aca="false">G6*Hypotheses!$B$25*G16</f>
        <v>8.568</v>
      </c>
      <c r="H17" s="23" t="n">
        <f aca="false">H6*Hypotheses!$B$25*H16</f>
        <v>4.284</v>
      </c>
    </row>
    <row r="18" customFormat="false" ht="15" hidden="false" customHeight="true" outlineLevel="0" collapsed="false">
      <c r="A18" s="8" t="s">
        <v>106</v>
      </c>
      <c r="C18" s="27" t="n">
        <f aca="false">C6*Hypotheses!$B$26/Hypotheses!$B$28</f>
        <v>24.0333333333333</v>
      </c>
      <c r="D18" s="27" t="n">
        <f aca="false">D6*Hypotheses!$B$26/Hypotheses!$B$28</f>
        <v>5.83333333333333</v>
      </c>
      <c r="E18" s="27" t="n">
        <f aca="false">E6*Hypotheses!$B$26/Hypotheses!$B$28</f>
        <v>6.76666666666667</v>
      </c>
      <c r="F18" s="27" t="n">
        <f aca="false">F6*Hypotheses!$B$26/Hypotheses!$B$28</f>
        <v>5.83333333333333</v>
      </c>
      <c r="G18" s="27" t="n">
        <f aca="false">G6*Hypotheses!$B$26/Hypotheses!$B$28</f>
        <v>3.73333333333333</v>
      </c>
      <c r="H18" s="27" t="n">
        <f aca="false">H6*Hypotheses!$B$26/Hypotheses!$B$28</f>
        <v>1.86666666666667</v>
      </c>
    </row>
    <row r="19" customFormat="false" ht="15" hidden="false" customHeight="true" outlineLevel="0" collapsed="false">
      <c r="A19" s="8" t="s">
        <v>107</v>
      </c>
      <c r="C19" s="23" t="n">
        <f aca="false">C18*Hypotheses!$B$27</f>
        <v>16823.3333333333</v>
      </c>
      <c r="D19" s="23" t="n">
        <f aca="false">D18*Hypotheses!$B$27</f>
        <v>4083.33333333333</v>
      </c>
      <c r="E19" s="23" t="n">
        <f aca="false">E18*Hypotheses!$B$27</f>
        <v>4736.66666666667</v>
      </c>
      <c r="F19" s="23" t="n">
        <f aca="false">F18*Hypotheses!$B$27</f>
        <v>4083.33333333333</v>
      </c>
      <c r="G19" s="23" t="n">
        <f aca="false">G18*Hypotheses!$B$27</f>
        <v>2613.33333333333</v>
      </c>
      <c r="H19" s="23" t="n">
        <f aca="false">H18*Hypotheses!$B$27</f>
        <v>1306.66666666667</v>
      </c>
    </row>
    <row r="20" customFormat="false" ht="15" hidden="false" customHeight="true" outlineLevel="0" collapsed="false">
      <c r="A20" s="24" t="s">
        <v>108</v>
      </c>
      <c r="C20" s="25" t="n">
        <f aca="false">C17+C19</f>
        <v>16878.4898333333</v>
      </c>
      <c r="D20" s="25" t="n">
        <f aca="false">D17+D19</f>
        <v>4096.72083333333</v>
      </c>
      <c r="E20" s="25" t="n">
        <f aca="false">E17+E19</f>
        <v>4752.19616666667</v>
      </c>
      <c r="F20" s="25" t="n">
        <f aca="false">F17+F19</f>
        <v>4096.72083333333</v>
      </c>
      <c r="G20" s="25" t="n">
        <f aca="false">G17+G19</f>
        <v>2621.90133333333</v>
      </c>
      <c r="H20" s="25" t="n">
        <f aca="false">H17+H19</f>
        <v>1310.95066666667</v>
      </c>
    </row>
    <row r="21" customFormat="false" ht="15" hidden="false" customHeight="true" outlineLevel="0" collapsed="false">
      <c r="A21" s="21" t="s">
        <v>109</v>
      </c>
      <c r="B21" s="22"/>
      <c r="C21" s="22"/>
      <c r="D21" s="22"/>
      <c r="E21" s="22"/>
      <c r="F21" s="22"/>
      <c r="G21" s="22"/>
      <c r="H21" s="22"/>
    </row>
    <row r="22" customFormat="false" ht="15" hidden="false" customHeight="true" outlineLevel="0" collapsed="false">
      <c r="A22" s="8" t="s">
        <v>110</v>
      </c>
      <c r="C22" s="28" t="n">
        <f aca="false">C20</f>
        <v>16878.4898333333</v>
      </c>
      <c r="D22" s="28" t="n">
        <f aca="false">C22+D20</f>
        <v>20975.2106666667</v>
      </c>
      <c r="E22" s="28" t="n">
        <f aca="false">D22+E20</f>
        <v>25727.4068333333</v>
      </c>
      <c r="F22" s="28" t="n">
        <f aca="false">E22+F20</f>
        <v>29824.1276666667</v>
      </c>
      <c r="G22" s="28" t="n">
        <f aca="false">F22+G20</f>
        <v>32446.029</v>
      </c>
      <c r="H22" s="28" t="n">
        <f aca="false">G22+H20</f>
        <v>33756.9796666667</v>
      </c>
    </row>
    <row r="23" customFormat="false" ht="15" hidden="false" customHeight="true" outlineLevel="0" collapsed="false">
      <c r="A23" s="8" t="s">
        <v>111</v>
      </c>
      <c r="C23" s="23" t="n">
        <f aca="false">C22*Hypotheses!$B$31/12</f>
        <v>253.1773475</v>
      </c>
      <c r="D23" s="23" t="n">
        <f aca="false">D22*Hypotheses!$B$31/12</f>
        <v>314.62816</v>
      </c>
      <c r="E23" s="23" t="n">
        <f aca="false">E22*Hypotheses!$B$31/12</f>
        <v>385.9111025</v>
      </c>
      <c r="F23" s="23" t="n">
        <f aca="false">F22*Hypotheses!$B$31/12</f>
        <v>447.361915</v>
      </c>
      <c r="G23" s="23" t="n">
        <f aca="false">G22*Hypotheses!$B$31/12</f>
        <v>486.690435</v>
      </c>
      <c r="H23" s="23" t="n">
        <f aca="false">H22*Hypotheses!$B$31/12</f>
        <v>506.354695</v>
      </c>
    </row>
    <row r="24" customFormat="false" ht="15" hidden="false" customHeight="true" outlineLevel="0" collapsed="false">
      <c r="A24" s="8" t="s">
        <v>112</v>
      </c>
      <c r="C24" s="23" t="n">
        <f aca="false">C8*Hypotheses!$B$32/12*Hypotheses!$B$33</f>
        <v>20</v>
      </c>
      <c r="D24" s="23" t="n">
        <f aca="false">D8*Hypotheses!$B$32/12*Hypotheses!$B$33</f>
        <v>50</v>
      </c>
      <c r="E24" s="23" t="n">
        <f aca="false">E8*Hypotheses!$B$32/12*Hypotheses!$B$33</f>
        <v>200</v>
      </c>
      <c r="F24" s="23" t="n">
        <f aca="false">F8*Hypotheses!$B$32/12*Hypotheses!$B$33</f>
        <v>1000</v>
      </c>
      <c r="G24" s="23" t="n">
        <f aca="false">G8*Hypotheses!$B$32/12*Hypotheses!$B$33</f>
        <v>3000</v>
      </c>
      <c r="H24" s="23" t="n">
        <f aca="false">H8*Hypotheses!$B$32/12*Hypotheses!$B$33</f>
        <v>5000</v>
      </c>
    </row>
    <row r="25" customFormat="false" ht="15" hidden="false" customHeight="true" outlineLevel="0" collapsed="false">
      <c r="A25" s="24" t="s">
        <v>113</v>
      </c>
      <c r="C25" s="25" t="n">
        <f aca="false">C23+C24</f>
        <v>273.1773475</v>
      </c>
      <c r="D25" s="25" t="n">
        <f aca="false">D23+D24</f>
        <v>364.62816</v>
      </c>
      <c r="E25" s="25" t="n">
        <f aca="false">E23+E24</f>
        <v>585.9111025</v>
      </c>
      <c r="F25" s="25" t="n">
        <f aca="false">F23+F24</f>
        <v>1447.361915</v>
      </c>
      <c r="G25" s="25" t="n">
        <f aca="false">G23+G24</f>
        <v>3486.690435</v>
      </c>
      <c r="H25" s="25" t="n">
        <f aca="false">H23+H24</f>
        <v>5506.354695</v>
      </c>
    </row>
    <row r="26" customFormat="false" ht="15" hidden="false" customHeight="true" outlineLevel="0" collapsed="false">
      <c r="A26" s="21" t="s">
        <v>114</v>
      </c>
      <c r="B26" s="22"/>
      <c r="C26" s="22"/>
      <c r="D26" s="22"/>
      <c r="E26" s="22"/>
      <c r="F26" s="22"/>
      <c r="G26" s="22"/>
      <c r="H26" s="22"/>
    </row>
    <row r="27" customFormat="false" ht="15" hidden="false" customHeight="true" outlineLevel="0" collapsed="false">
      <c r="A27" s="8" t="s">
        <v>115</v>
      </c>
      <c r="C27" s="23" t="n">
        <f aca="false">C8*(Hypotheses!$B$17+Hypotheses!$B$18)</f>
        <v>40</v>
      </c>
      <c r="D27" s="23" t="n">
        <f aca="false">D8*(Hypotheses!$B$17+Hypotheses!$B$18)</f>
        <v>100</v>
      </c>
      <c r="E27" s="23" t="n">
        <f aca="false">E8*(Hypotheses!$B$17+Hypotheses!$B$18)</f>
        <v>400</v>
      </c>
      <c r="F27" s="23" t="n">
        <f aca="false">F8*(Hypotheses!$B$17+Hypotheses!$B$18)</f>
        <v>2000</v>
      </c>
      <c r="G27" s="23" t="n">
        <f aca="false">G8*(Hypotheses!$B$17+Hypotheses!$B$18)</f>
        <v>6000</v>
      </c>
      <c r="H27" s="23" t="n">
        <f aca="false">H8*(Hypotheses!$B$17+Hypotheses!$B$18)</f>
        <v>10000</v>
      </c>
    </row>
    <row r="28" customFormat="false" ht="15" hidden="false" customHeight="true" outlineLevel="0" collapsed="false">
      <c r="A28" s="8" t="s">
        <v>116</v>
      </c>
      <c r="C28" s="23" t="n">
        <f aca="false">C13+C25</f>
        <v>280.5133475</v>
      </c>
      <c r="D28" s="23" t="n">
        <f aca="false">D13+D25</f>
        <v>372.28816</v>
      </c>
      <c r="E28" s="23" t="n">
        <f aca="false">E13+E25</f>
        <v>595.1911025</v>
      </c>
      <c r="F28" s="23" t="n">
        <f aca="false">F13+F25</f>
        <v>1465.281915</v>
      </c>
      <c r="G28" s="23" t="n">
        <f aca="false">G13+G25</f>
        <v>3606.630435</v>
      </c>
      <c r="H28" s="23" t="n">
        <f aca="false">H13+H25</f>
        <v>5669.494695</v>
      </c>
    </row>
    <row r="29" customFormat="false" ht="15" hidden="false" customHeight="true" outlineLevel="0" collapsed="false">
      <c r="A29" s="24" t="s">
        <v>117</v>
      </c>
      <c r="C29" s="25" t="n">
        <f aca="false">C27-C28</f>
        <v>-240.5133475</v>
      </c>
      <c r="D29" s="25" t="n">
        <f aca="false">D27-D28</f>
        <v>-272.28816</v>
      </c>
      <c r="E29" s="25" t="n">
        <f aca="false">E27-E28</f>
        <v>-195.1911025</v>
      </c>
      <c r="F29" s="25" t="n">
        <f aca="false">F27-F28</f>
        <v>534.718085</v>
      </c>
      <c r="G29" s="25" t="n">
        <f aca="false">G27-G28</f>
        <v>2393.369565</v>
      </c>
      <c r="H29" s="25" t="n">
        <f aca="false">H27-H28</f>
        <v>4330.505305</v>
      </c>
    </row>
    <row r="30" customFormat="false" ht="15" hidden="false" customHeight="true" outlineLevel="0" collapsed="false">
      <c r="A30" s="8" t="s">
        <v>118</v>
      </c>
      <c r="C30" s="23" t="n">
        <f aca="false">C5*Hypotheses!$B$36/12</f>
        <v>400</v>
      </c>
      <c r="D30" s="23" t="n">
        <f aca="false">D5*Hypotheses!$B$36/12</f>
        <v>1000</v>
      </c>
      <c r="E30" s="23" t="n">
        <f aca="false">E5*Hypotheses!$B$36/12</f>
        <v>4000</v>
      </c>
      <c r="F30" s="23" t="n">
        <f aca="false">F5*Hypotheses!$B$36/12</f>
        <v>20000</v>
      </c>
      <c r="G30" s="23" t="n">
        <f aca="false">G5*Hypotheses!$B$36/12</f>
        <v>60000</v>
      </c>
      <c r="H30" s="23" t="n">
        <f aca="false">H5*Hypotheses!$B$36/12</f>
        <v>100000</v>
      </c>
    </row>
    <row r="31" customFormat="false" ht="15" hidden="false" customHeight="true" outlineLevel="0" collapsed="false">
      <c r="A31" s="21" t="s">
        <v>119</v>
      </c>
      <c r="B31" s="22"/>
      <c r="C31" s="22"/>
      <c r="D31" s="22"/>
      <c r="E31" s="22"/>
      <c r="F31" s="22"/>
      <c r="G31" s="22"/>
      <c r="H31" s="22"/>
    </row>
    <row r="32" customFormat="false" ht="15" hidden="false" customHeight="true" outlineLevel="0" collapsed="false">
      <c r="A32" s="8" t="s">
        <v>120</v>
      </c>
      <c r="C32" s="28" t="n">
        <f aca="false">C20</f>
        <v>16878.4898333333</v>
      </c>
      <c r="D32" s="28" t="n">
        <f aca="false">C32+D20</f>
        <v>20975.2106666667</v>
      </c>
      <c r="E32" s="28" t="n">
        <f aca="false">D32+E20</f>
        <v>25727.4068333333</v>
      </c>
      <c r="F32" s="28" t="n">
        <f aca="false">E32+F20</f>
        <v>29824.1276666667</v>
      </c>
      <c r="G32" s="28" t="n">
        <f aca="false">F32+G20</f>
        <v>32446.029</v>
      </c>
      <c r="H32" s="28" t="n">
        <f aca="false">G32+H20</f>
        <v>33756.9796666667</v>
      </c>
    </row>
    <row r="33" customFormat="false" ht="15" hidden="false" customHeight="true" outlineLevel="0" collapsed="false">
      <c r="A33" s="8" t="s">
        <v>121</v>
      </c>
      <c r="C33" s="28" t="n">
        <f aca="false">C28*C4</f>
        <v>0</v>
      </c>
      <c r="D33" s="28" t="n">
        <f aca="false">C33+D28*D4</f>
        <v>1116.86448</v>
      </c>
      <c r="E33" s="28" t="n">
        <f aca="false">D33+E28*E4</f>
        <v>4688.011095</v>
      </c>
      <c r="F33" s="28" t="n">
        <f aca="false">E33+F28*F4</f>
        <v>26667.23982</v>
      </c>
      <c r="G33" s="28" t="n">
        <f aca="false">F33+G28*G4</f>
        <v>69946.80504</v>
      </c>
      <c r="H33" s="28" t="n">
        <f aca="false">G33+H28*H4</f>
        <v>171997.70955</v>
      </c>
    </row>
    <row r="34" customFormat="false" ht="15" hidden="false" customHeight="true" outlineLevel="0" collapsed="false">
      <c r="A34" s="8" t="s">
        <v>122</v>
      </c>
      <c r="C34" s="28" t="n">
        <f aca="false">C27*C4</f>
        <v>0</v>
      </c>
      <c r="D34" s="28" t="n">
        <f aca="false">C34+D27*D4</f>
        <v>300</v>
      </c>
      <c r="E34" s="28" t="n">
        <f aca="false">D34+E27*E4</f>
        <v>2700</v>
      </c>
      <c r="F34" s="28" t="n">
        <f aca="false">E34+F27*F4</f>
        <v>32700</v>
      </c>
      <c r="G34" s="28" t="n">
        <f aca="false">F34+G27*G4</f>
        <v>104700</v>
      </c>
      <c r="H34" s="28" t="n">
        <f aca="false">G34+H27*H4</f>
        <v>284700</v>
      </c>
    </row>
    <row r="35" customFormat="false" ht="15" hidden="false" customHeight="true" outlineLevel="0" collapsed="false">
      <c r="A35" s="24" t="s">
        <v>123</v>
      </c>
      <c r="C35" s="25" t="n">
        <f aca="false">C32+C33</f>
        <v>16878.4898333333</v>
      </c>
      <c r="D35" s="25" t="n">
        <f aca="false">D32+D33</f>
        <v>22092.0751466667</v>
      </c>
      <c r="E35" s="25" t="n">
        <f aca="false">E32+E33</f>
        <v>30415.4179283333</v>
      </c>
      <c r="F35" s="25" t="n">
        <f aca="false">F32+F33</f>
        <v>56491.3674866667</v>
      </c>
      <c r="G35" s="25" t="n">
        <f aca="false">G32+G33</f>
        <v>102392.83404</v>
      </c>
      <c r="H35" s="25" t="n">
        <f aca="false">H32+H33</f>
        <v>205754.689216667</v>
      </c>
    </row>
    <row r="36" customFormat="false" ht="15" hidden="false" customHeight="true" outlineLevel="0" collapsed="false">
      <c r="A36" s="24" t="s">
        <v>124</v>
      </c>
      <c r="C36" s="25" t="n">
        <f aca="false">C34-C35</f>
        <v>-16878.4898333333</v>
      </c>
      <c r="D36" s="25" t="n">
        <f aca="false">D34-D35</f>
        <v>-21792.0751466667</v>
      </c>
      <c r="E36" s="25" t="n">
        <f aca="false">E34-E35</f>
        <v>-27715.4179283333</v>
      </c>
      <c r="F36" s="25" t="n">
        <f aca="false">F34-F35</f>
        <v>-23791.3674866667</v>
      </c>
      <c r="G36" s="25" t="n">
        <f aca="false">G34-G35</f>
        <v>2307.16596</v>
      </c>
      <c r="H36" s="25" t="n">
        <f aca="false">H34-H35</f>
        <v>78945.3107833333</v>
      </c>
    </row>
    <row r="37" customFormat="false" ht="15" hidden="false" customHeight="true" outlineLevel="0" collapsed="false">
      <c r="A37" s="8" t="s">
        <v>125</v>
      </c>
      <c r="C37" s="29" t="str">
        <f aca="false">IF(C36&gt;=0,"OUI","—")</f>
        <v>—</v>
      </c>
      <c r="D37" s="29" t="str">
        <f aca="false">IF(D36&gt;=0,"OUI","—")</f>
        <v>—</v>
      </c>
      <c r="E37" s="29" t="str">
        <f aca="false">IF(E36&gt;=0,"OUI","—")</f>
        <v>—</v>
      </c>
      <c r="F37" s="29" t="str">
        <f aca="false">IF(F36&gt;=0,"OUI","—")</f>
        <v>—</v>
      </c>
      <c r="G37" s="29" t="str">
        <f aca="false">IF(G36&gt;=0,"OUI","—")</f>
        <v>OUI</v>
      </c>
      <c r="H37" s="29" t="str">
        <f aca="false">IF(H36&gt;=0,"OUI","—")</f>
        <v>OUI</v>
      </c>
    </row>
    <row r="38" customFormat="false" ht="15" hidden="false" customHeight="true" outlineLevel="0" collapsed="false">
      <c r="A38" s="8" t="s">
        <v>126</v>
      </c>
      <c r="C38" s="28" t="n">
        <f aca="false">C30*C4</f>
        <v>0</v>
      </c>
      <c r="D38" s="28" t="n">
        <f aca="false">C38+D30*D4</f>
        <v>3000</v>
      </c>
      <c r="E38" s="28" t="n">
        <f aca="false">D38+E30*E4</f>
        <v>27000</v>
      </c>
      <c r="F38" s="28" t="n">
        <f aca="false">E38+F30*F4</f>
        <v>327000</v>
      </c>
      <c r="G38" s="28" t="n">
        <f aca="false">F38+G30*G4</f>
        <v>1047000</v>
      </c>
      <c r="H38" s="28" t="n">
        <f aca="false">G38+H30*H4</f>
        <v>2847000</v>
      </c>
    </row>
    <row r="39" customFormat="false" ht="15" hidden="false" customHeight="true" outlineLevel="0" collapsed="false">
      <c r="A39" s="24" t="s">
        <v>127</v>
      </c>
      <c r="C39" s="30" t="n">
        <f aca="false">IF(C35=0,0,C38/C35)</f>
        <v>0</v>
      </c>
      <c r="D39" s="30" t="n">
        <f aca="false">IF(D35=0,0,D38/D35)</f>
        <v>0.135795301259993</v>
      </c>
      <c r="E39" s="30" t="n">
        <f aca="false">IF(E35=0,0,E38/E35)</f>
        <v>0.887707677192503</v>
      </c>
      <c r="F39" s="30" t="n">
        <f aca="false">IF(F35=0,0,F38/F35)</f>
        <v>5.78849503115994</v>
      </c>
      <c r="G39" s="30" t="n">
        <f aca="false">IF(G35=0,0,G38/G35)</f>
        <v>10.2253249440384</v>
      </c>
      <c r="H39" s="30" t="n">
        <f aca="false">IF(H35=0,0,H38/H35)</f>
        <v>13.8368656910755</v>
      </c>
    </row>
    <row r="41" customFormat="false" ht="15" hidden="false" customHeight="true" outlineLevel="0" collapsed="false">
      <c r="A41" s="21" t="s">
        <v>128</v>
      </c>
      <c r="B41" s="22"/>
      <c r="C41" s="22"/>
      <c r="D41" s="22"/>
      <c r="E41" s="22"/>
      <c r="F41" s="22"/>
      <c r="G41" s="22"/>
      <c r="H41" s="22"/>
    </row>
    <row r="42" customFormat="false" ht="15" hidden="false" customHeight="true" outlineLevel="0" collapsed="false">
      <c r="A42" s="8" t="s">
        <v>129</v>
      </c>
      <c r="C42" s="31" t="n">
        <f aca="false">'Compute-Stack'!$B$5</f>
        <v>1</v>
      </c>
      <c r="D42" s="31" t="n">
        <f aca="false">'Compute-Stack'!$B$5</f>
        <v>1</v>
      </c>
      <c r="E42" s="31" t="n">
        <f aca="false">'Compute-Stack'!$B$5</f>
        <v>1</v>
      </c>
      <c r="F42" s="31" t="n">
        <f aca="false">'Compute-Stack'!$B$5</f>
        <v>1</v>
      </c>
      <c r="G42" s="31" t="n">
        <f aca="false">'Compute-Stack'!$B$5</f>
        <v>1</v>
      </c>
      <c r="H42" s="31" t="n">
        <f aca="false">'Compute-Stack'!$B$5</f>
        <v>1</v>
      </c>
    </row>
    <row r="43" customFormat="false" ht="15" hidden="false" customHeight="true" outlineLevel="0" collapsed="false">
      <c r="A43" s="8" t="s">
        <v>130</v>
      </c>
      <c r="C43" s="32" t="n">
        <f aca="false">IF(C5&gt;=Hypotheses!$B$12,3,1)</f>
        <v>1</v>
      </c>
      <c r="D43" s="32" t="n">
        <f aca="false">IF(D5&gt;=Hypotheses!$B$12,3,1)</f>
        <v>1</v>
      </c>
      <c r="E43" s="32" t="n">
        <f aca="false">IF(E5&gt;=Hypotheses!$B$12,3,1)</f>
        <v>1</v>
      </c>
      <c r="F43" s="32" t="n">
        <f aca="false">IF(F5&gt;=Hypotheses!$B$12,3,1)</f>
        <v>1</v>
      </c>
      <c r="G43" s="32" t="n">
        <f aca="false">IF(G5&gt;=Hypotheses!$B$12,3,1)</f>
        <v>3</v>
      </c>
      <c r="H43" s="32" t="n">
        <f aca="false">IF(H5&gt;=Hypotheses!$B$12,3,1)</f>
        <v>3</v>
      </c>
    </row>
    <row r="44" customFormat="false" ht="15" hidden="false" customHeight="true" outlineLevel="0" collapsed="false">
      <c r="A44" s="24" t="s">
        <v>131</v>
      </c>
      <c r="C44" s="33" t="n">
        <f aca="false">MAX(C42,C43)</f>
        <v>1</v>
      </c>
      <c r="D44" s="33" t="n">
        <f aca="false">MAX(D42,D43)</f>
        <v>1</v>
      </c>
      <c r="E44" s="33" t="n">
        <f aca="false">MAX(E42,E43)</f>
        <v>1</v>
      </c>
      <c r="F44" s="33" t="n">
        <f aca="false">MAX(F42,F43)</f>
        <v>1</v>
      </c>
      <c r="G44" s="33" t="n">
        <f aca="false">MAX(G42,G43)</f>
        <v>3</v>
      </c>
      <c r="H44" s="33" t="n">
        <f aca="false">MAX(H42,H43)</f>
        <v>3</v>
      </c>
    </row>
    <row r="45" customFormat="false" ht="15" hidden="false" customHeight="true" outlineLevel="0" collapsed="false">
      <c r="A45" s="1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" min="3" style="1" width="13"/>
    <col collapsed="false" customWidth="true" hidden="false" outlineLevel="0" max="10" min="10" style="1" width="60"/>
  </cols>
  <sheetData>
    <row r="1" customFormat="false" ht="15.75" hidden="false" customHeight="true" outlineLevel="0" collapsed="false">
      <c r="A1" s="5" t="s">
        <v>133</v>
      </c>
    </row>
    <row r="3" customFormat="false" ht="15" hidden="false" customHeight="true" outlineLevel="0" collapsed="false">
      <c r="A3" s="24" t="s">
        <v>134</v>
      </c>
      <c r="C3" s="34" t="n">
        <v>2</v>
      </c>
      <c r="D3" s="24" t="str">
        <f aca="false">CHOOSE($C$3,"Pessimiste","Neutre (réaliste)","Optimiste")</f>
        <v>Neutre (réaliste)</v>
      </c>
    </row>
    <row r="5" customFormat="false" ht="15" hidden="false" customHeight="true" outlineLevel="0" collapsed="false">
      <c r="A5" s="6" t="s">
        <v>135</v>
      </c>
      <c r="C5" s="16" t="s">
        <v>85</v>
      </c>
      <c r="D5" s="16" t="s">
        <v>86</v>
      </c>
      <c r="E5" s="16" t="s">
        <v>87</v>
      </c>
      <c r="F5" s="16" t="s">
        <v>88</v>
      </c>
      <c r="G5" s="16" t="s">
        <v>89</v>
      </c>
      <c r="H5" s="16" t="s">
        <v>90</v>
      </c>
    </row>
    <row r="6" customFormat="false" ht="15" hidden="false" customHeight="true" outlineLevel="0" collapsed="false">
      <c r="A6" s="8" t="s">
        <v>136</v>
      </c>
      <c r="C6" s="9" t="n">
        <v>20</v>
      </c>
      <c r="D6" s="9" t="n">
        <v>50</v>
      </c>
      <c r="E6" s="9" t="n">
        <v>100</v>
      </c>
      <c r="F6" s="9" t="n">
        <v>500</v>
      </c>
      <c r="G6" s="9" t="n">
        <v>1000</v>
      </c>
      <c r="H6" s="9" t="n">
        <v>2000</v>
      </c>
      <c r="J6" s="11" t="s">
        <v>137</v>
      </c>
    </row>
    <row r="7" customFormat="false" ht="15" hidden="false" customHeight="true" outlineLevel="0" collapsed="false">
      <c r="A7" s="8" t="s">
        <v>138</v>
      </c>
      <c r="C7" s="9" t="n">
        <v>20</v>
      </c>
      <c r="D7" s="9" t="n">
        <v>50</v>
      </c>
      <c r="E7" s="9" t="n">
        <v>200</v>
      </c>
      <c r="F7" s="9" t="n">
        <v>1000</v>
      </c>
      <c r="G7" s="9" t="n">
        <v>3000</v>
      </c>
      <c r="H7" s="9" t="n">
        <v>5000</v>
      </c>
      <c r="J7" s="11" t="s">
        <v>139</v>
      </c>
    </row>
    <row r="8" customFormat="false" ht="15" hidden="false" customHeight="true" outlineLevel="0" collapsed="false">
      <c r="A8" s="8" t="s">
        <v>140</v>
      </c>
      <c r="C8" s="9" t="n">
        <v>20</v>
      </c>
      <c r="D8" s="9" t="n">
        <v>100</v>
      </c>
      <c r="E8" s="9" t="n">
        <v>500</v>
      </c>
      <c r="F8" s="9" t="n">
        <v>2000</v>
      </c>
      <c r="G8" s="9" t="n">
        <v>5000</v>
      </c>
      <c r="H8" s="9" t="n">
        <v>10000</v>
      </c>
      <c r="J8" s="11" t="s">
        <v>141</v>
      </c>
    </row>
    <row r="9" customFormat="false" ht="15" hidden="false" customHeight="true" outlineLevel="0" collapsed="false">
      <c r="A9" s="24" t="s">
        <v>142</v>
      </c>
      <c r="C9" s="35" t="n">
        <f aca="false">CHOOSE($C$3,C6,C7,C8)</f>
        <v>20</v>
      </c>
      <c r="D9" s="35" t="n">
        <f aca="false">CHOOSE($C$3,D6,D7,D8)</f>
        <v>50</v>
      </c>
      <c r="E9" s="35" t="n">
        <f aca="false">CHOOSE($C$3,E6,E7,E8)</f>
        <v>200</v>
      </c>
      <c r="F9" s="35" t="n">
        <f aca="false">CHOOSE($C$3,F6,F7,F8)</f>
        <v>1000</v>
      </c>
      <c r="G9" s="35" t="n">
        <f aca="false">CHOOSE($C$3,G6,G7,G8)</f>
        <v>3000</v>
      </c>
      <c r="H9" s="35" t="n">
        <f aca="false">CHOOSE($C$3,H6,H7,H8)</f>
        <v>5000</v>
      </c>
    </row>
    <row r="11" customFormat="false" ht="15" hidden="false" customHeight="true" outlineLevel="0" collapsed="false">
      <c r="A11" s="6" t="s">
        <v>143</v>
      </c>
      <c r="B11" s="7"/>
      <c r="C11" s="7"/>
      <c r="D11" s="7"/>
      <c r="E11" s="7"/>
      <c r="F11" s="7"/>
      <c r="G11" s="7"/>
      <c r="H11" s="7"/>
    </row>
    <row r="12" customFormat="false" ht="15" hidden="false" customHeight="true" outlineLevel="0" collapsed="false">
      <c r="A12" s="8" t="s">
        <v>144</v>
      </c>
      <c r="C12" s="36" t="n">
        <v>559</v>
      </c>
      <c r="J12" s="11" t="s">
        <v>145</v>
      </c>
    </row>
    <row r="13" customFormat="false" ht="15" hidden="false" customHeight="true" outlineLevel="0" collapsed="false">
      <c r="A13" s="8" t="s">
        <v>146</v>
      </c>
      <c r="C13" s="37" t="n">
        <v>59</v>
      </c>
    </row>
    <row r="14" customFormat="false" ht="15" hidden="false" customHeight="true" outlineLevel="0" collapsed="false">
      <c r="A14" s="8" t="s">
        <v>147</v>
      </c>
      <c r="C14" s="37" t="n">
        <v>819</v>
      </c>
      <c r="J14" s="11" t="s">
        <v>148</v>
      </c>
    </row>
    <row r="15" customFormat="false" ht="15" hidden="false" customHeight="true" outlineLevel="0" collapsed="false">
      <c r="A15" s="24" t="s">
        <v>149</v>
      </c>
      <c r="C15" s="33" t="n">
        <f aca="false">ROUND(C14/4,0)</f>
        <v>205</v>
      </c>
    </row>
    <row r="17" customFormat="false" ht="15" hidden="false" customHeight="true" outlineLevel="0" collapsed="false">
      <c r="A17" s="38" t="s">
        <v>150</v>
      </c>
      <c r="C17" s="39" t="n">
        <v>0.5</v>
      </c>
      <c r="D17" s="39" t="n">
        <v>0.12</v>
      </c>
      <c r="E17" s="39" t="n">
        <v>0.14</v>
      </c>
      <c r="F17" s="39" t="n">
        <v>0.12</v>
      </c>
      <c r="G17" s="39" t="n">
        <v>0.08</v>
      </c>
      <c r="H17" s="39" t="n">
        <v>0.04</v>
      </c>
      <c r="J17" s="11" t="s">
        <v>151</v>
      </c>
    </row>
    <row r="18" customFormat="false" ht="15" hidden="false" customHeight="true" outlineLevel="0" collapsed="false">
      <c r="A18" s="24" t="s">
        <v>152</v>
      </c>
      <c r="C18" s="35" t="n">
        <f aca="false">ROUND($C$15*C17,0)</f>
        <v>103</v>
      </c>
      <c r="D18" s="35" t="n">
        <f aca="false">ROUND($C$15*D17,0)</f>
        <v>25</v>
      </c>
      <c r="E18" s="35" t="n">
        <f aca="false">ROUND($C$15*E17,0)</f>
        <v>29</v>
      </c>
      <c r="F18" s="35" t="n">
        <f aca="false">ROUND($C$15*F17,0)</f>
        <v>25</v>
      </c>
      <c r="G18" s="35" t="n">
        <f aca="false">ROUND($C$15*G17,0)</f>
        <v>16</v>
      </c>
      <c r="H18" s="35" t="n">
        <f aca="false">ROUND($C$15*H17,0)</f>
        <v>8</v>
      </c>
    </row>
    <row r="20" customFormat="false" ht="15" hidden="false" customHeight="true" outlineLevel="0" collapsed="false">
      <c r="A20" s="6" t="s">
        <v>153</v>
      </c>
      <c r="B20" s="7"/>
      <c r="C20" s="7"/>
      <c r="D20" s="7"/>
      <c r="E20" s="7"/>
      <c r="F20" s="7"/>
      <c r="G20" s="7"/>
      <c r="H20" s="7"/>
      <c r="J20" s="11" t="s">
        <v>154</v>
      </c>
    </row>
    <row r="21" customFormat="false" ht="15" hidden="false" customHeight="true" outlineLevel="0" collapsed="false">
      <c r="A21" s="40" t="s">
        <v>155</v>
      </c>
      <c r="C21" s="28" t="n">
        <f aca="false">CEILING((C6*Hypotheses!$B$16)/Hypotheses!$B$4,1)*IF(C6&gt;=Hypotheses!$B$12,2,1)*Hypotheses!$B$9+Hypotheses!$B$10+IF(C6&gt;=Hypotheses!$B$12,Hypotheses!$B$11,0)+(C6*Hypotheses!$B$16)*Hypotheses!$B$5*IF(C6&gt;=Hypotheses!$B$12,Hypotheses!$B$13,1)</f>
        <v>7.336</v>
      </c>
      <c r="D21" s="28" t="n">
        <f aca="false">CEILING((D6*Hypotheses!$B$16)/Hypotheses!$B$4,1)*IF(D6&gt;=Hypotheses!$B$12,2,1)*Hypotheses!$B$9+Hypotheses!$B$10+IF(D6&gt;=Hypotheses!$B$12,Hypotheses!$B$11,0)+(D6*Hypotheses!$B$16)*Hypotheses!$B$5*IF(D6&gt;=Hypotheses!$B$12,Hypotheses!$B$13,1)</f>
        <v>7.66</v>
      </c>
      <c r="E21" s="28" t="n">
        <f aca="false">CEILING((E6*Hypotheses!$B$16)/Hypotheses!$B$4,1)*IF(E6&gt;=Hypotheses!$B$12,2,1)*Hypotheses!$B$9+Hypotheses!$B$10+IF(E6&gt;=Hypotheses!$B$12,Hypotheses!$B$11,0)+(E6*Hypotheses!$B$16)*Hypotheses!$B$5*IF(E6&gt;=Hypotheses!$B$12,Hypotheses!$B$13,1)</f>
        <v>8.2</v>
      </c>
      <c r="F21" s="28" t="n">
        <f aca="false">CEILING((F6*Hypotheses!$B$16)/Hypotheses!$B$4,1)*IF(F6&gt;=Hypotheses!$B$12,2,1)*Hypotheses!$B$9+Hypotheses!$B$10+IF(F6&gt;=Hypotheses!$B$12,Hypotheses!$B$11,0)+(F6*Hypotheses!$B$16)*Hypotheses!$B$5*IF(F6&gt;=Hypotheses!$B$12,Hypotheses!$B$13,1)</f>
        <v>12.52</v>
      </c>
      <c r="G21" s="28" t="n">
        <f aca="false">CEILING((G6*Hypotheses!$B$16)/Hypotheses!$B$4,1)*IF(G6&gt;=Hypotheses!$B$12,2,1)*Hypotheses!$B$9+Hypotheses!$B$10+IF(G6&gt;=Hypotheses!$B$12,Hypotheses!$B$11,0)+(G6*Hypotheses!$B$16)*Hypotheses!$B$5*IF(G6&gt;=Hypotheses!$B$12,Hypotheses!$B$13,1)</f>
        <v>17.92</v>
      </c>
      <c r="H21" s="28" t="n">
        <f aca="false">CEILING((H6*Hypotheses!$B$16)/Hypotheses!$B$4,1)*IF(H6&gt;=Hypotheses!$B$12,2,1)*Hypotheses!$B$9+Hypotheses!$B$10+IF(H6&gt;=Hypotheses!$B$12,Hypotheses!$B$11,0)+(H6*Hypotheses!$B$16)*Hypotheses!$B$5*IF(H6&gt;=Hypotheses!$B$12,Hypotheses!$B$13,1)</f>
        <v>28.72</v>
      </c>
    </row>
    <row r="22" customFormat="false" ht="15" hidden="false" customHeight="true" outlineLevel="0" collapsed="false">
      <c r="A22" s="40" t="s">
        <v>156</v>
      </c>
      <c r="C22" s="28" t="n">
        <f aca="false">(C6*Hypotheses!$B$16)*Hypotheses!$B$17</f>
        <v>40</v>
      </c>
      <c r="D22" s="28" t="n">
        <f aca="false">(D6*Hypotheses!$B$16)*Hypotheses!$B$17</f>
        <v>100</v>
      </c>
      <c r="E22" s="28" t="n">
        <f aca="false">(E6*Hypotheses!$B$16)*Hypotheses!$B$17</f>
        <v>200</v>
      </c>
      <c r="F22" s="28" t="n">
        <f aca="false">(F6*Hypotheses!$B$16)*Hypotheses!$B$17</f>
        <v>1000</v>
      </c>
      <c r="G22" s="28" t="n">
        <f aca="false">(G6*Hypotheses!$B$16)*Hypotheses!$B$17</f>
        <v>2000</v>
      </c>
      <c r="H22" s="28" t="n">
        <f aca="false">(H6*Hypotheses!$B$16)*Hypotheses!$B$17</f>
        <v>4000</v>
      </c>
    </row>
    <row r="23" customFormat="false" ht="15" hidden="false" customHeight="true" outlineLevel="0" collapsed="false">
      <c r="A23" s="40" t="s">
        <v>157</v>
      </c>
      <c r="C23" s="28" t="n">
        <f aca="false">C21+Modele!C23+(C6*Hypotheses!$B$16)*Hypotheses!$B$32/12*Hypotheses!$B$33</f>
        <v>280.5133475</v>
      </c>
      <c r="D23" s="28" t="n">
        <f aca="false">D21+Modele!D23+(D6*Hypotheses!$B$16)*Hypotheses!$B$32/12*Hypotheses!$B$33</f>
        <v>372.28816</v>
      </c>
      <c r="E23" s="28" t="n">
        <f aca="false">E21+Modele!E23+(E6*Hypotheses!$B$16)*Hypotheses!$B$32/12*Hypotheses!$B$33</f>
        <v>494.1111025</v>
      </c>
      <c r="F23" s="28" t="n">
        <f aca="false">F21+Modele!F23+(F6*Hypotheses!$B$16)*Hypotheses!$B$32/12*Hypotheses!$B$33</f>
        <v>959.881915</v>
      </c>
      <c r="G23" s="28" t="n">
        <f aca="false">G21+Modele!G23+(G6*Hypotheses!$B$16)*Hypotheses!$B$32/12*Hypotheses!$B$33</f>
        <v>1504.610435</v>
      </c>
      <c r="H23" s="28" t="n">
        <f aca="false">H21+Modele!H23+(H6*Hypotheses!$B$16)*Hypotheses!$B$32/12*Hypotheses!$B$33</f>
        <v>2535.074695</v>
      </c>
    </row>
    <row r="24" customFormat="false" ht="15" hidden="false" customHeight="true" outlineLevel="0" collapsed="false">
      <c r="A24" s="24" t="s">
        <v>158</v>
      </c>
      <c r="C24" s="41" t="n">
        <f aca="false">(C22-C23)*Scenarios!C40-Modele!C32</f>
        <v>-16878.4898333333</v>
      </c>
      <c r="D24" s="41" t="n">
        <f aca="false">C24+(D22-D23)*Scenarios!D40-(Modele!D32-Modele!C32)</f>
        <v>-24242.6685866667</v>
      </c>
      <c r="E24" s="41" t="n">
        <f aca="false">D24+(E22-E23)*Scenarios!E40-(Modele!E32-Modele!D32)</f>
        <v>-32524.1979833333</v>
      </c>
      <c r="F24" s="41" t="n">
        <f aca="false">E24+(F22-F23)*Scenarios!F40-(Modele!F32-Modele!E32)</f>
        <v>-36139.5017966667</v>
      </c>
      <c r="G24" s="41" t="n">
        <f aca="false">F24+(G22-G23)*Scenarios!G40-(Modele!G32-Modele!F32)</f>
        <v>-26872.05357</v>
      </c>
      <c r="H24" s="41" t="n">
        <f aca="false">G24+(H22-H23)*Scenarios!H40-(Modele!H32-Modele!G32)</f>
        <v>6975.20308333333</v>
      </c>
    </row>
    <row r="25" customFormat="false" ht="15" hidden="false" customHeight="true" outlineLevel="0" collapsed="false">
      <c r="A25" s="40" t="s">
        <v>159</v>
      </c>
      <c r="C25" s="28" t="n">
        <f aca="false">CEILING((C7*Hypotheses!$B$16)/Hypotheses!$B$4,1)*IF(C7&gt;=Hypotheses!$B$12,2,1)*Hypotheses!$B$9+Hypotheses!$B$10+IF(C7&gt;=Hypotheses!$B$12,Hypotheses!$B$11,0)+(C7*Hypotheses!$B$16)*Hypotheses!$B$5*IF(C7&gt;=Hypotheses!$B$12,Hypotheses!$B$13,1)</f>
        <v>7.336</v>
      </c>
      <c r="D25" s="28" t="n">
        <f aca="false">CEILING((D7*Hypotheses!$B$16)/Hypotheses!$B$4,1)*IF(D7&gt;=Hypotheses!$B$12,2,1)*Hypotheses!$B$9+Hypotheses!$B$10+IF(D7&gt;=Hypotheses!$B$12,Hypotheses!$B$11,0)+(D7*Hypotheses!$B$16)*Hypotheses!$B$5*IF(D7&gt;=Hypotheses!$B$12,Hypotheses!$B$13,1)</f>
        <v>7.66</v>
      </c>
      <c r="E25" s="28" t="n">
        <f aca="false">CEILING((E7*Hypotheses!$B$16)/Hypotheses!$B$4,1)*IF(E7&gt;=Hypotheses!$B$12,2,1)*Hypotheses!$B$9+Hypotheses!$B$10+IF(E7&gt;=Hypotheses!$B$12,Hypotheses!$B$11,0)+(E7*Hypotheses!$B$16)*Hypotheses!$B$5*IF(E7&gt;=Hypotheses!$B$12,Hypotheses!$B$13,1)</f>
        <v>9.28</v>
      </c>
      <c r="F25" s="28" t="n">
        <f aca="false">CEILING((F7*Hypotheses!$B$16)/Hypotheses!$B$4,1)*IF(F7&gt;=Hypotheses!$B$12,2,1)*Hypotheses!$B$9+Hypotheses!$B$10+IF(F7&gt;=Hypotheses!$B$12,Hypotheses!$B$11,0)+(F7*Hypotheses!$B$16)*Hypotheses!$B$5*IF(F7&gt;=Hypotheses!$B$12,Hypotheses!$B$13,1)</f>
        <v>17.92</v>
      </c>
      <c r="G25" s="28" t="n">
        <f aca="false">CEILING((G7*Hypotheses!$B$16)/Hypotheses!$B$4,1)*IF(G7&gt;=Hypotheses!$B$12,2,1)*Hypotheses!$B$9+Hypotheses!$B$10+IF(G7&gt;=Hypotheses!$B$12,Hypotheses!$B$11,0)+(G7*Hypotheses!$B$16)*Hypotheses!$B$5*IF(G7&gt;=Hypotheses!$B$12,Hypotheses!$B$13,1)</f>
        <v>118.94</v>
      </c>
      <c r="H25" s="28" t="n">
        <f aca="false">CEILING((H7*Hypotheses!$B$16)/Hypotheses!$B$4,1)*IF(H7&gt;=Hypotheses!$B$12,2,1)*Hypotheses!$B$9+Hypotheses!$B$10+IF(H7&gt;=Hypotheses!$B$12,Hypotheses!$B$11,0)+(H7*Hypotheses!$B$16)*Hypotheses!$B$5*IF(H7&gt;=Hypotheses!$B$12,Hypotheses!$B$13,1)</f>
        <v>162.14</v>
      </c>
    </row>
    <row r="26" customFormat="false" ht="15" hidden="false" customHeight="true" outlineLevel="0" collapsed="false">
      <c r="A26" s="40" t="s">
        <v>160</v>
      </c>
      <c r="C26" s="28" t="n">
        <f aca="false">(C7*Hypotheses!$B$16)*Hypotheses!$B$17</f>
        <v>40</v>
      </c>
      <c r="D26" s="28" t="n">
        <f aca="false">(D7*Hypotheses!$B$16)*Hypotheses!$B$17</f>
        <v>100</v>
      </c>
      <c r="E26" s="28" t="n">
        <f aca="false">(E7*Hypotheses!$B$16)*Hypotheses!$B$17</f>
        <v>400</v>
      </c>
      <c r="F26" s="28" t="n">
        <f aca="false">(F7*Hypotheses!$B$16)*Hypotheses!$B$17</f>
        <v>2000</v>
      </c>
      <c r="G26" s="28" t="n">
        <f aca="false">(G7*Hypotheses!$B$16)*Hypotheses!$B$17</f>
        <v>6000</v>
      </c>
      <c r="H26" s="28" t="n">
        <f aca="false">(H7*Hypotheses!$B$16)*Hypotheses!$B$17</f>
        <v>10000</v>
      </c>
    </row>
    <row r="27" customFormat="false" ht="15" hidden="false" customHeight="true" outlineLevel="0" collapsed="false">
      <c r="A27" s="40" t="s">
        <v>161</v>
      </c>
      <c r="C27" s="28" t="n">
        <f aca="false">C25+Modele!C23+(C7*Hypotheses!$B$16)*Hypotheses!$B$32/12*Hypotheses!$B$33</f>
        <v>280.5133475</v>
      </c>
      <c r="D27" s="28" t="n">
        <f aca="false">D25+Modele!D23+(D7*Hypotheses!$B$16)*Hypotheses!$B$32/12*Hypotheses!$B$33</f>
        <v>372.28816</v>
      </c>
      <c r="E27" s="28" t="n">
        <f aca="false">E25+Modele!E23+(E7*Hypotheses!$B$16)*Hypotheses!$B$32/12*Hypotheses!$B$33</f>
        <v>595.1911025</v>
      </c>
      <c r="F27" s="28" t="n">
        <f aca="false">F25+Modele!F23+(F7*Hypotheses!$B$16)*Hypotheses!$B$32/12*Hypotheses!$B$33</f>
        <v>1465.281915</v>
      </c>
      <c r="G27" s="28" t="n">
        <f aca="false">G25+Modele!G23+(G7*Hypotheses!$B$16)*Hypotheses!$B$32/12*Hypotheses!$B$33</f>
        <v>3605.630435</v>
      </c>
      <c r="H27" s="28" t="n">
        <f aca="false">H25+Modele!H23+(H7*Hypotheses!$B$16)*Hypotheses!$B$32/12*Hypotheses!$B$33</f>
        <v>5668.494695</v>
      </c>
    </row>
    <row r="28" customFormat="false" ht="15" hidden="false" customHeight="true" outlineLevel="0" collapsed="false">
      <c r="A28" s="24" t="s">
        <v>162</v>
      </c>
      <c r="C28" s="41" t="n">
        <f aca="false">(C26-C27)*Scenarios!C41-Modele!C32</f>
        <v>-16878.4898333333</v>
      </c>
      <c r="D28" s="41" t="n">
        <f aca="false">C28+(D26-D27)*Scenarios!D41-(Modele!D32-Modele!C32)</f>
        <v>-21792.0751466667</v>
      </c>
      <c r="E28" s="41" t="n">
        <f aca="false">D28+(E26-E27)*Scenarios!E41-(Modele!E32-Modele!D32)</f>
        <v>-27715.4179283333</v>
      </c>
      <c r="F28" s="41" t="n">
        <f aca="false">E28+(F26-F27)*Scenarios!F41-(Modele!F32-Modele!E32)</f>
        <v>-23791.3674866667</v>
      </c>
      <c r="G28" s="41" t="n">
        <f aca="false">F28+(G26-G27)*Scenarios!G41-(Modele!G32-Modele!F32)</f>
        <v>2319.16596</v>
      </c>
      <c r="H28" s="41" t="n">
        <f aca="false">G28+(H26-H27)*Scenarios!H41-(Modele!H32-Modele!G32)</f>
        <v>78975.3107833334</v>
      </c>
    </row>
    <row r="29" customFormat="false" ht="15" hidden="false" customHeight="true" outlineLevel="0" collapsed="false">
      <c r="A29" s="40" t="s">
        <v>163</v>
      </c>
      <c r="C29" s="28" t="n">
        <f aca="false">CEILING((C8*Hypotheses!$B$16)/Hypotheses!$B$4,1)*IF(C8&gt;=Hypotheses!$B$12,2,1)*Hypotheses!$B$9+Hypotheses!$B$10+IF(C8&gt;=Hypotheses!$B$12,Hypotheses!$B$11,0)+(C8*Hypotheses!$B$16)*Hypotheses!$B$5*IF(C8&gt;=Hypotheses!$B$12,Hypotheses!$B$13,1)</f>
        <v>7.336</v>
      </c>
      <c r="D29" s="28" t="n">
        <f aca="false">CEILING((D8*Hypotheses!$B$16)/Hypotheses!$B$4,1)*IF(D8&gt;=Hypotheses!$B$12,2,1)*Hypotheses!$B$9+Hypotheses!$B$10+IF(D8&gt;=Hypotheses!$B$12,Hypotheses!$B$11,0)+(D8*Hypotheses!$B$16)*Hypotheses!$B$5*IF(D8&gt;=Hypotheses!$B$12,Hypotheses!$B$13,1)</f>
        <v>8.2</v>
      </c>
      <c r="E29" s="28" t="n">
        <f aca="false">CEILING((E8*Hypotheses!$B$16)/Hypotheses!$B$4,1)*IF(E8&gt;=Hypotheses!$B$12,2,1)*Hypotheses!$B$9+Hypotheses!$B$10+IF(E8&gt;=Hypotheses!$B$12,Hypotheses!$B$11,0)+(E8*Hypotheses!$B$16)*Hypotheses!$B$5*IF(E8&gt;=Hypotheses!$B$12,Hypotheses!$B$13,1)</f>
        <v>12.52</v>
      </c>
      <c r="F29" s="28" t="n">
        <f aca="false">CEILING((F8*Hypotheses!$B$16)/Hypotheses!$B$4,1)*IF(F8&gt;=Hypotheses!$B$12,2,1)*Hypotheses!$B$9+Hypotheses!$B$10+IF(F8&gt;=Hypotheses!$B$12,Hypotheses!$B$11,0)+(F8*Hypotheses!$B$16)*Hypotheses!$B$5*IF(F8&gt;=Hypotheses!$B$12,Hypotheses!$B$13,1)</f>
        <v>28.72</v>
      </c>
      <c r="G29" s="28" t="n">
        <f aca="false">CEILING((G8*Hypotheses!$B$16)/Hypotheses!$B$4,1)*IF(G8&gt;=Hypotheses!$B$12,2,1)*Hypotheses!$B$9+Hypotheses!$B$10+IF(G8&gt;=Hypotheses!$B$12,Hypotheses!$B$11,0)+(G8*Hypotheses!$B$16)*Hypotheses!$B$5*IF(G8&gt;=Hypotheses!$B$12,Hypotheses!$B$13,1)</f>
        <v>162.14</v>
      </c>
      <c r="H29" s="28" t="n">
        <f aca="false">CEILING((H8*Hypotheses!$B$16)/Hypotheses!$B$4,1)*IF(H8&gt;=Hypotheses!$B$12,2,1)*Hypotheses!$B$9+Hypotheses!$B$10+IF(H8&gt;=Hypotheses!$B$12,Hypotheses!$B$11,0)+(H8*Hypotheses!$B$16)*Hypotheses!$B$5*IF(H8&gt;=Hypotheses!$B$12,Hypotheses!$B$13,1)</f>
        <v>284.18</v>
      </c>
    </row>
    <row r="30" customFormat="false" ht="15" hidden="false" customHeight="true" outlineLevel="0" collapsed="false">
      <c r="A30" s="40" t="s">
        <v>164</v>
      </c>
      <c r="C30" s="28" t="n">
        <f aca="false">(C8*Hypotheses!$B$16)*Hypotheses!$B$17</f>
        <v>40</v>
      </c>
      <c r="D30" s="28" t="n">
        <f aca="false">(D8*Hypotheses!$B$16)*Hypotheses!$B$17</f>
        <v>200</v>
      </c>
      <c r="E30" s="28" t="n">
        <f aca="false">(E8*Hypotheses!$B$16)*Hypotheses!$B$17</f>
        <v>1000</v>
      </c>
      <c r="F30" s="28" t="n">
        <f aca="false">(F8*Hypotheses!$B$16)*Hypotheses!$B$17</f>
        <v>4000</v>
      </c>
      <c r="G30" s="28" t="n">
        <f aca="false">(G8*Hypotheses!$B$16)*Hypotheses!$B$17</f>
        <v>10000</v>
      </c>
      <c r="H30" s="28" t="n">
        <f aca="false">(H8*Hypotheses!$B$16)*Hypotheses!$B$17</f>
        <v>20000</v>
      </c>
    </row>
    <row r="31" customFormat="false" ht="15" hidden="false" customHeight="true" outlineLevel="0" collapsed="false">
      <c r="A31" s="40" t="s">
        <v>165</v>
      </c>
      <c r="C31" s="28" t="n">
        <f aca="false">C29+Modele!C23+(C8*Hypotheses!$B$16)*Hypotheses!$B$32/12*Hypotheses!$B$33</f>
        <v>280.5133475</v>
      </c>
      <c r="D31" s="28" t="n">
        <f aca="false">D29+Modele!D23+(D8*Hypotheses!$B$16)*Hypotheses!$B$32/12*Hypotheses!$B$33</f>
        <v>422.82816</v>
      </c>
      <c r="E31" s="28" t="n">
        <f aca="false">E29+Modele!E23+(E8*Hypotheses!$B$16)*Hypotheses!$B$32/12*Hypotheses!$B$33</f>
        <v>898.4311025</v>
      </c>
      <c r="F31" s="28" t="n">
        <f aca="false">F29+Modele!F23+(F8*Hypotheses!$B$16)*Hypotheses!$B$32/12*Hypotheses!$B$33</f>
        <v>2476.081915</v>
      </c>
      <c r="G31" s="28" t="n">
        <f aca="false">G29+Modele!G23+(G8*Hypotheses!$B$16)*Hypotheses!$B$32/12*Hypotheses!$B$33</f>
        <v>5648.830435</v>
      </c>
      <c r="H31" s="28" t="n">
        <f aca="false">H29+Modele!H23+(H8*Hypotheses!$B$16)*Hypotheses!$B$32/12*Hypotheses!$B$33</f>
        <v>10790.534695</v>
      </c>
    </row>
    <row r="32" customFormat="false" ht="15" hidden="false" customHeight="true" outlineLevel="0" collapsed="false">
      <c r="A32" s="24" t="s">
        <v>166</v>
      </c>
      <c r="C32" s="41" t="n">
        <f aca="false">(C30-C31)*Scenarios!C42-Modele!C32</f>
        <v>-16878.4898333333</v>
      </c>
      <c r="D32" s="41" t="n">
        <f aca="false">C32+(D30-D31)*Scenarios!D42-(Modele!D32-Modele!C32)</f>
        <v>-21643.6951466667</v>
      </c>
      <c r="E32" s="41" t="n">
        <f aca="false">D32+(E30-E31)*Scenarios!E42-(Modele!E32-Modele!D32)</f>
        <v>-26091.1846208333</v>
      </c>
      <c r="F32" s="41" t="n">
        <f aca="false">E32+(F30-F31)*Scenarios!F42-(Modele!F32-Modele!E32)</f>
        <v>-21044.3969441667</v>
      </c>
      <c r="G32" s="41" t="n">
        <f aca="false">F32+(G30-G31)*Scenarios!G42-(Modele!G32-Modele!F32)</f>
        <v>28547.7365025</v>
      </c>
      <c r="H32" s="41" t="n">
        <f aca="false">G32+(H30-H31)*Scenarios!H42-(Modele!H32-Modele!G32)</f>
        <v>137750.369495833</v>
      </c>
    </row>
    <row r="34" customFormat="false" ht="15" hidden="false" customHeight="true" outlineLevel="0" collapsed="false">
      <c r="A34" s="6" t="s">
        <v>167</v>
      </c>
      <c r="B34" s="7"/>
      <c r="C34" s="7"/>
      <c r="D34" s="7"/>
      <c r="E34" s="7"/>
      <c r="F34" s="7"/>
      <c r="G34" s="7"/>
      <c r="H34" s="7"/>
      <c r="J34" s="11" t="s">
        <v>168</v>
      </c>
    </row>
    <row r="35" customFormat="false" ht="15" hidden="false" customHeight="true" outlineLevel="0" collapsed="false">
      <c r="A35" s="8" t="s">
        <v>169</v>
      </c>
      <c r="C35" s="9" t="n">
        <v>0</v>
      </c>
      <c r="D35" s="9" t="n">
        <v>12</v>
      </c>
      <c r="E35" s="9" t="n">
        <v>24</v>
      </c>
      <c r="F35" s="9" t="n">
        <v>36</v>
      </c>
      <c r="G35" s="9" t="n">
        <v>60</v>
      </c>
      <c r="H35" s="9" t="n">
        <v>84</v>
      </c>
    </row>
    <row r="36" customFormat="false" ht="15" hidden="false" customHeight="true" outlineLevel="0" collapsed="false">
      <c r="A36" s="8" t="s">
        <v>170</v>
      </c>
      <c r="C36" s="9" t="n">
        <v>0</v>
      </c>
      <c r="D36" s="9" t="n">
        <v>3</v>
      </c>
      <c r="E36" s="9" t="n">
        <v>9</v>
      </c>
      <c r="F36" s="9" t="n">
        <v>24</v>
      </c>
      <c r="G36" s="9" t="n">
        <v>36</v>
      </c>
      <c r="H36" s="9" t="n">
        <v>54</v>
      </c>
    </row>
    <row r="37" customFormat="false" ht="15" hidden="false" customHeight="true" outlineLevel="0" collapsed="false">
      <c r="A37" s="8" t="s">
        <v>171</v>
      </c>
      <c r="C37" s="9" t="n">
        <v>0</v>
      </c>
      <c r="D37" s="9" t="n">
        <v>3</v>
      </c>
      <c r="E37" s="9" t="n">
        <v>6</v>
      </c>
      <c r="F37" s="9" t="n">
        <v>12</v>
      </c>
      <c r="G37" s="9" t="n">
        <v>24</v>
      </c>
      <c r="H37" s="9" t="n">
        <v>36</v>
      </c>
    </row>
    <row r="38" customFormat="false" ht="15" hidden="false" customHeight="true" outlineLevel="0" collapsed="false">
      <c r="A38" s="24" t="s">
        <v>172</v>
      </c>
      <c r="C38" s="33" t="n">
        <f aca="false">CHOOSE($C$3,C35,C36,C37)</f>
        <v>0</v>
      </c>
      <c r="D38" s="33" t="n">
        <f aca="false">CHOOSE($C$3,D35,D36,D37)</f>
        <v>3</v>
      </c>
      <c r="E38" s="33" t="n">
        <f aca="false">CHOOSE($C$3,E35,E36,E37)</f>
        <v>9</v>
      </c>
      <c r="F38" s="33" t="n">
        <f aca="false">CHOOSE($C$3,F35,F36,F37)</f>
        <v>24</v>
      </c>
      <c r="G38" s="33" t="n">
        <f aca="false">CHOOSE($C$3,G35,G36,G37)</f>
        <v>36</v>
      </c>
      <c r="H38" s="33" t="n">
        <f aca="false">CHOOSE($C$3,H35,H36,H37)</f>
        <v>54</v>
      </c>
    </row>
    <row r="40" customFormat="false" ht="15" hidden="false" customHeight="true" outlineLevel="0" collapsed="false">
      <c r="A40" s="40" t="s">
        <v>173</v>
      </c>
      <c r="C40" s="42" t="n">
        <f aca="false">C35</f>
        <v>0</v>
      </c>
      <c r="D40" s="42" t="n">
        <f aca="false">D35-C35</f>
        <v>12</v>
      </c>
      <c r="E40" s="42" t="n">
        <f aca="false">E35-D35</f>
        <v>12</v>
      </c>
      <c r="F40" s="42" t="n">
        <f aca="false">F35-E35</f>
        <v>12</v>
      </c>
      <c r="G40" s="42" t="n">
        <f aca="false">G35-F35</f>
        <v>24</v>
      </c>
      <c r="H40" s="42" t="n">
        <f aca="false">H35-G35</f>
        <v>24</v>
      </c>
    </row>
    <row r="41" customFormat="false" ht="15" hidden="false" customHeight="true" outlineLevel="0" collapsed="false">
      <c r="A41" s="40" t="s">
        <v>174</v>
      </c>
      <c r="C41" s="42" t="n">
        <f aca="false">C36</f>
        <v>0</v>
      </c>
      <c r="D41" s="42" t="n">
        <f aca="false">D36-C36</f>
        <v>3</v>
      </c>
      <c r="E41" s="42" t="n">
        <f aca="false">E36-D36</f>
        <v>6</v>
      </c>
      <c r="F41" s="42" t="n">
        <f aca="false">F36-E36</f>
        <v>15</v>
      </c>
      <c r="G41" s="42" t="n">
        <f aca="false">G36-F36</f>
        <v>12</v>
      </c>
      <c r="H41" s="42" t="n">
        <f aca="false">H36-G36</f>
        <v>18</v>
      </c>
    </row>
    <row r="42" customFormat="false" ht="15" hidden="false" customHeight="true" outlineLevel="0" collapsed="false">
      <c r="A42" s="40" t="s">
        <v>175</v>
      </c>
      <c r="C42" s="42" t="n">
        <f aca="false">C37</f>
        <v>0</v>
      </c>
      <c r="D42" s="42" t="n">
        <f aca="false">D37-C37</f>
        <v>3</v>
      </c>
      <c r="E42" s="42" t="n">
        <f aca="false">E37-D37</f>
        <v>3</v>
      </c>
      <c r="F42" s="42" t="n">
        <f aca="false">F37-E37</f>
        <v>6</v>
      </c>
      <c r="G42" s="42" t="n">
        <f aca="false">G37-F37</f>
        <v>12</v>
      </c>
      <c r="H42" s="42" t="n">
        <f aca="false">H37-G37</f>
        <v>12</v>
      </c>
    </row>
  </sheetData>
  <dataValidations count="1">
    <dataValidation allowBlank="false" errorStyle="stop" operator="between" showDropDown="false" showErrorMessage="false" showInputMessage="false" sqref="C3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4" min="3" style="1" width="18"/>
    <col collapsed="false" customWidth="true" hidden="false" outlineLevel="0" max="5" min="5" style="1" width="16"/>
  </cols>
  <sheetData>
    <row r="1" customFormat="false" ht="15.75" hidden="false" customHeight="true" outlineLevel="0" collapsed="false">
      <c r="A1" s="5" t="s">
        <v>176</v>
      </c>
    </row>
    <row r="2" customFormat="false" ht="15" hidden="false" customHeight="true" outlineLevel="0" collapsed="false">
      <c r="A2" s="11" t="s">
        <v>177</v>
      </c>
    </row>
    <row r="4" customFormat="false" ht="15" hidden="false" customHeight="true" outlineLevel="0" collapsed="false">
      <c r="A4" s="43" t="s">
        <v>178</v>
      </c>
      <c r="B4" s="43" t="s">
        <v>179</v>
      </c>
      <c r="C4" s="43" t="s">
        <v>180</v>
      </c>
      <c r="D4" s="43" t="s">
        <v>181</v>
      </c>
      <c r="E4" s="43" t="s">
        <v>182</v>
      </c>
    </row>
    <row r="5" customFormat="false" ht="15" hidden="false" customHeight="true" outlineLevel="0" collapsed="false">
      <c r="A5" s="8" t="s">
        <v>183</v>
      </c>
      <c r="B5" s="8" t="n">
        <v>15000</v>
      </c>
      <c r="C5" s="44" t="n">
        <v>78996</v>
      </c>
      <c r="D5" s="44" t="n">
        <v>78955</v>
      </c>
      <c r="E5" s="44" t="n">
        <v>41</v>
      </c>
    </row>
    <row r="6" customFormat="false" ht="15" hidden="false" customHeight="true" outlineLevel="0" collapsed="false">
      <c r="A6" s="8" t="s">
        <v>184</v>
      </c>
      <c r="B6" s="8" t="n">
        <v>60000</v>
      </c>
      <c r="C6" s="44" t="n">
        <v>79003</v>
      </c>
      <c r="D6" s="44" t="n">
        <v>78948</v>
      </c>
      <c r="E6" s="44" t="n">
        <v>55</v>
      </c>
    </row>
    <row r="7" customFormat="false" ht="15" hidden="false" customHeight="true" outlineLevel="0" collapsed="false">
      <c r="A7" s="8" t="s">
        <v>185</v>
      </c>
      <c r="B7" s="8" t="n">
        <v>6</v>
      </c>
      <c r="C7" s="44" t="n">
        <v>79023</v>
      </c>
      <c r="D7" s="44" t="n">
        <v>78927</v>
      </c>
      <c r="E7" s="44" t="n">
        <v>96</v>
      </c>
    </row>
    <row r="8" customFormat="false" ht="15" hidden="false" customHeight="true" outlineLevel="0" collapsed="false">
      <c r="A8" s="8" t="s">
        <v>186</v>
      </c>
      <c r="B8" s="8" t="n">
        <v>40</v>
      </c>
      <c r="C8" s="44" t="n">
        <v>79275</v>
      </c>
      <c r="D8" s="44" t="n">
        <v>78675</v>
      </c>
      <c r="E8" s="44" t="n">
        <v>600</v>
      </c>
    </row>
    <row r="9" customFormat="false" ht="15" hidden="false" customHeight="true" outlineLevel="0" collapsed="false">
      <c r="A9" s="8" t="s">
        <v>187</v>
      </c>
      <c r="B9" s="8" t="n">
        <v>0.18</v>
      </c>
      <c r="C9" s="44" t="n">
        <v>85206</v>
      </c>
      <c r="D9" s="44" t="n">
        <v>72744</v>
      </c>
      <c r="E9" s="44" t="n">
        <v>12462</v>
      </c>
    </row>
    <row r="10" customFormat="false" ht="15" hidden="false" customHeight="true" outlineLevel="0" collapsed="false">
      <c r="A10" s="8" t="s">
        <v>188</v>
      </c>
      <c r="B10" s="8" t="n">
        <v>700</v>
      </c>
      <c r="C10" s="44" t="n">
        <v>93598</v>
      </c>
      <c r="D10" s="44" t="n">
        <v>64353</v>
      </c>
      <c r="E10" s="44" t="n">
        <v>29245</v>
      </c>
    </row>
    <row r="11" customFormat="false" ht="15" hidden="false" customHeight="true" outlineLevel="0" collapsed="false">
      <c r="A11" s="8" t="s">
        <v>189</v>
      </c>
      <c r="B11" s="8" t="n">
        <v>0.7</v>
      </c>
      <c r="C11" s="44" t="n">
        <v>93598</v>
      </c>
      <c r="D11" s="44" t="n">
        <v>64353</v>
      </c>
      <c r="E11" s="44" t="n">
        <v>29245</v>
      </c>
    </row>
    <row r="12" customFormat="false" ht="15" hidden="false" customHeight="true" outlineLevel="0" collapsed="false">
      <c r="A12" s="8" t="s">
        <v>190</v>
      </c>
      <c r="B12" s="8" t="n">
        <v>3</v>
      </c>
      <c r="C12" s="44" t="n">
        <v>59479</v>
      </c>
      <c r="D12" s="44" t="n">
        <v>90673</v>
      </c>
      <c r="E12" s="44" t="n">
        <v>31194</v>
      </c>
    </row>
    <row r="13" customFormat="false" ht="15" hidden="false" customHeight="true" outlineLevel="0" collapsed="false">
      <c r="A13" s="8" t="s">
        <v>191</v>
      </c>
      <c r="B13" s="8" t="n">
        <v>2</v>
      </c>
      <c r="C13" s="44" t="n">
        <v>114563</v>
      </c>
      <c r="D13" s="44" t="n">
        <v>43388</v>
      </c>
      <c r="E13" s="44" t="n">
        <v>71175</v>
      </c>
    </row>
    <row r="15" customFormat="false" ht="15" hidden="false" customHeight="true" outlineLevel="0" collapsed="false">
      <c r="A15" s="24" t="s">
        <v>192</v>
      </c>
      <c r="B15" s="45" t="n">
        <v>78975</v>
      </c>
    </row>
    <row r="16" customFormat="false" ht="15" hidden="false" customHeight="true" outlineLevel="0" collapsed="false">
      <c r="A16" s="46" t="s">
        <v>193</v>
      </c>
    </row>
    <row r="17" customFormat="false" ht="15" hidden="false" customHeight="true" outlineLevel="0" collapsed="false">
      <c r="A17" s="11" t="s">
        <v>194</v>
      </c>
    </row>
    <row r="18" customFormat="false" ht="15" hidden="false" customHeight="true" outlineLevel="0" collapsed="false">
      <c r="A18" s="43" t="s">
        <v>178</v>
      </c>
      <c r="B18" s="43" t="s">
        <v>195</v>
      </c>
      <c r="C18" s="43" t="s">
        <v>196</v>
      </c>
      <c r="D18" s="43" t="s">
        <v>197</v>
      </c>
    </row>
    <row r="19" customFormat="false" ht="15" hidden="false" customHeight="true" outlineLevel="0" collapsed="false">
      <c r="A19" s="8" t="s">
        <v>185</v>
      </c>
      <c r="B19" s="47" t="n">
        <v>13.8421</v>
      </c>
      <c r="C19" s="47" t="n">
        <v>13.8357</v>
      </c>
      <c r="D19" s="47" t="n">
        <v>0.0064</v>
      </c>
    </row>
    <row r="20" customFormat="false" ht="15" hidden="false" customHeight="true" outlineLevel="0" collapsed="false">
      <c r="A20" s="8" t="s">
        <v>186</v>
      </c>
      <c r="B20" s="47" t="n">
        <v>13.8591</v>
      </c>
      <c r="C20" s="47" t="n">
        <v>13.8187</v>
      </c>
      <c r="D20" s="47" t="n">
        <v>0.0404</v>
      </c>
    </row>
    <row r="21" customFormat="false" ht="15" hidden="false" customHeight="true" outlineLevel="0" collapsed="false">
      <c r="A21" s="8" t="s">
        <v>187</v>
      </c>
      <c r="B21" s="47" t="n">
        <v>14.2711</v>
      </c>
      <c r="C21" s="47" t="n">
        <v>13.432</v>
      </c>
      <c r="D21" s="47" t="n">
        <v>0.8391</v>
      </c>
    </row>
    <row r="22" customFormat="false" ht="15" hidden="false" customHeight="true" outlineLevel="0" collapsed="false">
      <c r="A22" s="8" t="s">
        <v>188</v>
      </c>
      <c r="B22" s="47" t="n">
        <v>14.8978</v>
      </c>
      <c r="C22" s="47" t="n">
        <v>12.9205</v>
      </c>
      <c r="D22" s="47" t="n">
        <v>1.9773</v>
      </c>
    </row>
    <row r="23" customFormat="false" ht="15" hidden="false" customHeight="true" outlineLevel="0" collapsed="false">
      <c r="A23" s="8" t="s">
        <v>189</v>
      </c>
      <c r="B23" s="47" t="n">
        <v>14.8978</v>
      </c>
      <c r="C23" s="47" t="n">
        <v>12.9205</v>
      </c>
      <c r="D23" s="47" t="n">
        <v>1.9773</v>
      </c>
    </row>
    <row r="24" customFormat="false" ht="15" hidden="false" customHeight="true" outlineLevel="0" collapsed="false">
      <c r="A24" s="8" t="s">
        <v>190</v>
      </c>
      <c r="B24" s="47" t="n">
        <v>12.6409</v>
      </c>
      <c r="C24" s="47" t="n">
        <v>14.6732</v>
      </c>
      <c r="D24" s="47" t="n">
        <v>2.0323</v>
      </c>
    </row>
    <row r="25" customFormat="false" ht="15" hidden="false" customHeight="true" outlineLevel="0" collapsed="false">
      <c r="A25" s="8" t="s">
        <v>191</v>
      </c>
      <c r="B25" s="47" t="n">
        <v>16.7336</v>
      </c>
      <c r="C25" s="47" t="n">
        <v>11.798</v>
      </c>
      <c r="D25" s="47" t="n">
        <v>4.9356</v>
      </c>
    </row>
    <row r="26" customFormat="false" ht="15" hidden="false" customHeight="true" outlineLevel="0" collapsed="false">
      <c r="A26" s="8" t="s">
        <v>198</v>
      </c>
      <c r="B26" s="47" t="n">
        <v>10.3792</v>
      </c>
      <c r="C26" s="47" t="n">
        <v>17.2986</v>
      </c>
      <c r="D26" s="47" t="n">
        <v>6.9194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4"/>
  </cols>
  <sheetData>
    <row r="1" customFormat="false" ht="15.75" hidden="false" customHeight="true" outlineLevel="0" collapsed="false">
      <c r="A1" s="5" t="s">
        <v>199</v>
      </c>
    </row>
    <row r="2" customFormat="false" ht="15" hidden="false" customHeight="true" outlineLevel="0" collapsed="false">
      <c r="A2" s="11" t="s">
        <v>200</v>
      </c>
    </row>
    <row r="4" customFormat="false" ht="26.25" hidden="false" customHeight="true" outlineLevel="0" collapsed="false">
      <c r="A4" s="48" t="s">
        <v>201</v>
      </c>
      <c r="B4" s="48" t="s">
        <v>202</v>
      </c>
      <c r="C4" s="48" t="s">
        <v>203</v>
      </c>
      <c r="D4" s="48" t="s">
        <v>204</v>
      </c>
      <c r="E4" s="48" t="s">
        <v>205</v>
      </c>
      <c r="F4" s="48" t="s">
        <v>206</v>
      </c>
    </row>
    <row r="5" customFormat="false" ht="15" hidden="false" customHeight="true" outlineLevel="0" collapsed="false">
      <c r="A5" s="24" t="s">
        <v>207</v>
      </c>
      <c r="B5" s="44" t="n">
        <f aca="false">-MIN(Scenarios!$C$24:$H$24)</f>
        <v>36139.5017966667</v>
      </c>
      <c r="C5" s="49" t="str">
        <f aca="false">INDEX(Scenarios!$C$5:$H$5,MATCH(MIN(Scenarios!$C$24:$H$24),Scenarios!$C$24:$H$24,0))</f>
        <v>J3</v>
      </c>
      <c r="D5" s="50" t="n">
        <f aca="false">INDEX(Scenarios!$C$35:$H$35,MATCH(MIN(Scenarios!$C$24:$H$24),Scenarios!$C$24:$H$24,0))</f>
        <v>36</v>
      </c>
      <c r="E5" s="49" t="str">
        <f aca="false">IF(COUNTIF(Scenarios!$C$24:$H$24,"&lt;0")&gt;=6,"non atteint",INDEX(Scenarios!$C$5:$H$5,COUNTIF(Scenarios!$C$24:$H$24,"&lt;0")+1))</f>
        <v>J5</v>
      </c>
      <c r="F5" s="50" t="n">
        <f aca="false">IF(COUNTIF(Scenarios!$C$24:$H$24,"&lt;0")&gt;=6,"—",INDEX(Scenarios!$C$35:$H$35,COUNTIF(Scenarios!$C$24:$H$24,"&lt;0")+1))</f>
        <v>84</v>
      </c>
    </row>
    <row r="6" customFormat="false" ht="15" hidden="false" customHeight="true" outlineLevel="0" collapsed="false">
      <c r="A6" s="24" t="s">
        <v>208</v>
      </c>
      <c r="B6" s="44" t="n">
        <f aca="false">-MIN(Scenarios!$C$28:$H$28)</f>
        <v>27715.4179283333</v>
      </c>
      <c r="C6" s="49" t="str">
        <f aca="false">INDEX(Scenarios!$C$5:$H$5,MATCH(MIN(Scenarios!$C$28:$H$28),Scenarios!$C$28:$H$28,0))</f>
        <v>J2</v>
      </c>
      <c r="D6" s="50" t="n">
        <f aca="false">INDEX(Scenarios!$C$36:$H$36,MATCH(MIN(Scenarios!$C$28:$H$28),Scenarios!$C$28:$H$28,0))</f>
        <v>9</v>
      </c>
      <c r="E6" s="49" t="str">
        <f aca="false">IF(COUNTIF(Scenarios!$C$28:$H$28,"&lt;0")&gt;=6,"non atteint",INDEX(Scenarios!$C$5:$H$5,COUNTIF(Scenarios!$C$28:$H$28,"&lt;0")+1))</f>
        <v>J4</v>
      </c>
      <c r="F6" s="50" t="n">
        <f aca="false">IF(COUNTIF(Scenarios!$C$28:$H$28,"&lt;0")&gt;=6,"—",INDEX(Scenarios!$C$36:$H$36,COUNTIF(Scenarios!$C$28:$H$28,"&lt;0")+1))</f>
        <v>36</v>
      </c>
    </row>
    <row r="7" customFormat="false" ht="15" hidden="false" customHeight="true" outlineLevel="0" collapsed="false">
      <c r="A7" s="24" t="s">
        <v>209</v>
      </c>
      <c r="B7" s="44" t="n">
        <f aca="false">-MIN(Scenarios!$C$32:$H$32)</f>
        <v>26091.1846208333</v>
      </c>
      <c r="C7" s="49" t="str">
        <f aca="false">INDEX(Scenarios!$C$5:$H$5,MATCH(MIN(Scenarios!$C$32:$H$32),Scenarios!$C$32:$H$32,0))</f>
        <v>J2</v>
      </c>
      <c r="D7" s="50" t="n">
        <f aca="false">INDEX(Scenarios!$C$37:$H$37,MATCH(MIN(Scenarios!$C$32:$H$32),Scenarios!$C$32:$H$32,0))</f>
        <v>6</v>
      </c>
      <c r="E7" s="49" t="str">
        <f aca="false">IF(COUNTIF(Scenarios!$C$32:$H$32,"&lt;0")&gt;=6,"non atteint",INDEX(Scenarios!$C$5:$H$5,COUNTIF(Scenarios!$C$32:$H$32,"&lt;0")+1))</f>
        <v>J4</v>
      </c>
      <c r="F7" s="50" t="n">
        <f aca="false">IF(COUNTIF(Scenarios!$C$32:$H$32,"&lt;0")&gt;=6,"—",INDEX(Scenarios!$C$37:$H$37,COUNTIF(Scenarios!$C$32:$H$32,"&lt;0")+1))</f>
        <v>24</v>
      </c>
    </row>
    <row r="9" customFormat="false" ht="15" hidden="false" customHeight="true" outlineLevel="0" collapsed="false">
      <c r="A9" s="11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8" min="3" style="1" width="12"/>
    <col collapsed="false" customWidth="true" hidden="false" outlineLevel="0" max="10" min="10" style="1" width="50"/>
  </cols>
  <sheetData>
    <row r="1" customFormat="false" ht="15.75" hidden="false" customHeight="true" outlineLevel="0" collapsed="false">
      <c r="A1" s="5" t="s">
        <v>211</v>
      </c>
    </row>
    <row r="2" customFormat="false" ht="15" hidden="false" customHeight="true" outlineLevel="0" collapsed="false">
      <c r="A2" s="11" t="s">
        <v>212</v>
      </c>
    </row>
    <row r="4" customFormat="false" ht="15" hidden="false" customHeight="true" outlineLevel="0" collapsed="false">
      <c r="A4" s="6" t="s">
        <v>84</v>
      </c>
      <c r="C4" s="16" t="s">
        <v>85</v>
      </c>
      <c r="D4" s="16" t="s">
        <v>86</v>
      </c>
      <c r="E4" s="16" t="s">
        <v>87</v>
      </c>
      <c r="F4" s="16" t="s">
        <v>88</v>
      </c>
      <c r="G4" s="16" t="s">
        <v>89</v>
      </c>
      <c r="H4" s="16" t="s">
        <v>90</v>
      </c>
    </row>
    <row r="5" customFormat="false" ht="15" hidden="false" customHeight="true" outlineLevel="0" collapsed="false">
      <c r="A5" s="8" t="s">
        <v>213</v>
      </c>
      <c r="C5" s="51" t="n">
        <f aca="false">Modele!C8</f>
        <v>8</v>
      </c>
      <c r="D5" s="51" t="n">
        <f aca="false">Modele!D8</f>
        <v>20</v>
      </c>
      <c r="E5" s="51" t="n">
        <f aca="false">Modele!E8</f>
        <v>80</v>
      </c>
      <c r="F5" s="51" t="n">
        <f aca="false">Modele!F8</f>
        <v>400</v>
      </c>
      <c r="G5" s="51" t="n">
        <f aca="false">Modele!G8</f>
        <v>1200</v>
      </c>
      <c r="H5" s="51" t="n">
        <f aca="false">Modele!H8</f>
        <v>2000</v>
      </c>
      <c r="J5" s="11" t="s">
        <v>214</v>
      </c>
    </row>
    <row r="6" customFormat="false" ht="15" hidden="false" customHeight="true" outlineLevel="0" collapsed="false">
      <c r="A6" s="8" t="s">
        <v>215</v>
      </c>
      <c r="C6" s="51" t="n">
        <f aca="false">Modele!C3</f>
        <v>0</v>
      </c>
      <c r="D6" s="51" t="n">
        <f aca="false">Modele!D3</f>
        <v>3</v>
      </c>
      <c r="E6" s="51" t="n">
        <f aca="false">Modele!E3</f>
        <v>9</v>
      </c>
      <c r="F6" s="51" t="n">
        <f aca="false">Modele!F3</f>
        <v>24</v>
      </c>
      <c r="G6" s="51" t="n">
        <f aca="false">Modele!G3</f>
        <v>36</v>
      </c>
      <c r="H6" s="51" t="n">
        <f aca="false">Modele!H3</f>
        <v>54</v>
      </c>
    </row>
    <row r="7" customFormat="false" ht="15" hidden="false" customHeight="true" outlineLevel="0" collapsed="false">
      <c r="A7" s="21" t="s">
        <v>216</v>
      </c>
      <c r="B7" s="22"/>
      <c r="C7" s="52"/>
      <c r="D7" s="52"/>
      <c r="E7" s="52"/>
      <c r="F7" s="52"/>
      <c r="G7" s="52"/>
      <c r="H7" s="52"/>
    </row>
    <row r="8" customFormat="false" ht="15" hidden="false" customHeight="true" outlineLevel="0" collapsed="false">
      <c r="A8" s="8" t="s">
        <v>217</v>
      </c>
      <c r="C8" s="14" t="n">
        <v>59</v>
      </c>
      <c r="D8" s="14" t="n">
        <v>63</v>
      </c>
      <c r="E8" s="14" t="n">
        <v>75</v>
      </c>
      <c r="F8" s="14" t="n">
        <v>85</v>
      </c>
      <c r="G8" s="14" t="n">
        <v>91</v>
      </c>
      <c r="H8" s="14" t="n">
        <v>100</v>
      </c>
      <c r="J8" s="11" t="s">
        <v>218</v>
      </c>
    </row>
    <row r="9" customFormat="false" ht="15" hidden="false" customHeight="true" outlineLevel="0" collapsed="false">
      <c r="A9" s="21" t="s">
        <v>219</v>
      </c>
      <c r="B9" s="22"/>
      <c r="C9" s="52"/>
      <c r="D9" s="52"/>
      <c r="E9" s="52"/>
      <c r="F9" s="52"/>
      <c r="G9" s="52"/>
      <c r="H9" s="52"/>
    </row>
    <row r="10" customFormat="false" ht="15" hidden="false" customHeight="true" outlineLevel="0" collapsed="false">
      <c r="A10" s="8" t="s">
        <v>220</v>
      </c>
      <c r="C10" s="14" t="n">
        <v>12</v>
      </c>
      <c r="D10" s="14"/>
      <c r="E10" s="14"/>
      <c r="F10" s="14"/>
      <c r="G10" s="14"/>
      <c r="H10" s="14"/>
      <c r="J10" s="11" t="s">
        <v>221</v>
      </c>
    </row>
    <row r="11" customFormat="false" ht="15" hidden="false" customHeight="true" outlineLevel="0" collapsed="false">
      <c r="A11" s="8" t="s">
        <v>222</v>
      </c>
      <c r="C11" s="14" t="n">
        <v>90</v>
      </c>
      <c r="D11" s="14"/>
      <c r="E11" s="14"/>
      <c r="F11" s="14"/>
      <c r="G11" s="14"/>
      <c r="H11" s="14"/>
      <c r="J11" s="11" t="s">
        <v>223</v>
      </c>
    </row>
    <row r="12" customFormat="false" ht="15" hidden="false" customHeight="true" outlineLevel="0" collapsed="false">
      <c r="A12" s="8" t="s">
        <v>224</v>
      </c>
      <c r="C12" s="53" t="n">
        <v>0.4</v>
      </c>
      <c r="D12" s="53"/>
      <c r="E12" s="53"/>
      <c r="F12" s="53"/>
      <c r="G12" s="53"/>
      <c r="H12" s="53"/>
    </row>
    <row r="13" customFormat="false" ht="15" hidden="false" customHeight="true" outlineLevel="0" collapsed="false">
      <c r="A13" s="8" t="s">
        <v>225</v>
      </c>
      <c r="C13" s="53" t="n">
        <v>1.6</v>
      </c>
      <c r="D13" s="53"/>
      <c r="E13" s="53"/>
      <c r="F13" s="53"/>
      <c r="G13" s="53"/>
      <c r="H13" s="53"/>
      <c r="J13" s="11" t="s">
        <v>226</v>
      </c>
    </row>
    <row r="14" customFormat="false" ht="15" hidden="false" customHeight="true" outlineLevel="0" collapsed="false">
      <c r="A14" s="8" t="s">
        <v>227</v>
      </c>
      <c r="C14" s="39" t="n">
        <v>0.3</v>
      </c>
      <c r="D14" s="39"/>
      <c r="E14" s="39"/>
      <c r="F14" s="39"/>
      <c r="G14" s="39"/>
      <c r="H14" s="39"/>
    </row>
    <row r="15" customFormat="false" ht="15" hidden="false" customHeight="true" outlineLevel="0" collapsed="false">
      <c r="A15" s="8" t="s">
        <v>228</v>
      </c>
      <c r="C15" s="54" t="n">
        <f aca="false">'Compute-Stack'!B22</f>
        <v>1.40606594085693</v>
      </c>
      <c r="D15" s="53"/>
      <c r="E15" s="53"/>
      <c r="F15" s="53"/>
      <c r="G15" s="53"/>
      <c r="H15" s="53"/>
      <c r="J15" s="11" t="s">
        <v>229</v>
      </c>
    </row>
    <row r="16" customFormat="false" ht="15" hidden="false" customHeight="true" outlineLevel="0" collapsed="false">
      <c r="A16" s="21" t="s">
        <v>230</v>
      </c>
      <c r="B16" s="22"/>
      <c r="C16" s="52"/>
      <c r="D16" s="52"/>
      <c r="E16" s="52"/>
      <c r="F16" s="52"/>
      <c r="G16" s="52"/>
      <c r="H16" s="52"/>
    </row>
    <row r="17" customFormat="false" ht="15" hidden="false" customHeight="true" outlineLevel="0" collapsed="false">
      <c r="A17" s="8" t="s">
        <v>231</v>
      </c>
      <c r="C17" s="55" t="n">
        <f aca="false">C8*$C$10+$C$11*C6</f>
        <v>708</v>
      </c>
      <c r="D17" s="55" t="n">
        <f aca="false">D8*$C$10+$C$11*D6</f>
        <v>1026</v>
      </c>
      <c r="E17" s="55" t="n">
        <f aca="false">E8*$C$10+$C$11*E6</f>
        <v>1710</v>
      </c>
      <c r="F17" s="55" t="n">
        <f aca="false">F8*$C$10+$C$11*F6</f>
        <v>3180</v>
      </c>
      <c r="G17" s="55" t="n">
        <f aca="false">G8*$C$10+$C$11*G6</f>
        <v>4332</v>
      </c>
      <c r="H17" s="55" t="n">
        <f aca="false">H8*$C$10+$C$11*H6</f>
        <v>6060</v>
      </c>
    </row>
    <row r="18" customFormat="false" ht="15" hidden="false" customHeight="true" outlineLevel="0" collapsed="false">
      <c r="A18" s="8" t="s">
        <v>232</v>
      </c>
      <c r="C18" s="56" t="n">
        <f aca="false">C17*$C$12/1024</f>
        <v>0.2765625</v>
      </c>
      <c r="D18" s="56" t="n">
        <f aca="false">D17*$C$12/1024</f>
        <v>0.40078125</v>
      </c>
      <c r="E18" s="56" t="n">
        <f aca="false">E17*$C$12/1024</f>
        <v>0.66796875</v>
      </c>
      <c r="F18" s="56" t="n">
        <f aca="false">F17*$C$12/1024</f>
        <v>1.2421875</v>
      </c>
      <c r="G18" s="56" t="n">
        <f aca="false">G17*$C$12/1024</f>
        <v>1.6921875</v>
      </c>
      <c r="H18" s="56" t="n">
        <f aca="false">H17*$C$12/1024</f>
        <v>2.3671875</v>
      </c>
    </row>
    <row r="19" customFormat="false" ht="15" hidden="false" customHeight="true" outlineLevel="0" collapsed="false">
      <c r="A19" s="8" t="s">
        <v>233</v>
      </c>
      <c r="C19" s="56" t="n">
        <f aca="false">C18*($C$13-1)</f>
        <v>0.1659375</v>
      </c>
      <c r="D19" s="56" t="n">
        <f aca="false">D18*($C$13-1)</f>
        <v>0.24046875</v>
      </c>
      <c r="E19" s="56" t="n">
        <f aca="false">E18*($C$13-1)</f>
        <v>0.40078125</v>
      </c>
      <c r="F19" s="56" t="n">
        <f aca="false">F18*($C$13-1)</f>
        <v>0.7453125</v>
      </c>
      <c r="G19" s="56" t="n">
        <f aca="false">G18*($C$13-1)</f>
        <v>1.0153125</v>
      </c>
      <c r="H19" s="56" t="n">
        <f aca="false">H18*($C$13-1)</f>
        <v>1.4203125</v>
      </c>
    </row>
    <row r="20" customFormat="false" ht="15" hidden="false" customHeight="true" outlineLevel="0" collapsed="false">
      <c r="A20" s="21" t="s">
        <v>234</v>
      </c>
      <c r="B20" s="22"/>
      <c r="C20" s="52"/>
      <c r="D20" s="52"/>
      <c r="E20" s="52"/>
      <c r="F20" s="52"/>
      <c r="G20" s="52"/>
      <c r="H20" s="52"/>
    </row>
    <row r="21" customFormat="false" ht="15" hidden="false" customHeight="true" outlineLevel="0" collapsed="false">
      <c r="A21" s="24" t="s">
        <v>235</v>
      </c>
      <c r="C21" s="57" t="n">
        <f aca="false">(C18+C19)*C5/1024</f>
        <v>0.00345703125</v>
      </c>
      <c r="D21" s="57" t="n">
        <f aca="false">(D18+D19)*D5/1024</f>
        <v>0.0125244140625</v>
      </c>
      <c r="E21" s="57" t="n">
        <f aca="false">(E18+E19)*E5/1024</f>
        <v>0.08349609375</v>
      </c>
      <c r="F21" s="57" t="n">
        <f aca="false">(F18+F19)*F5/1024</f>
        <v>0.7763671875</v>
      </c>
      <c r="G21" s="57" t="n">
        <f aca="false">(G18+G19)*G5/1024</f>
        <v>3.1728515625</v>
      </c>
      <c r="H21" s="57" t="n">
        <f aca="false">(H18+H19)*H5/1024</f>
        <v>7.3974609375</v>
      </c>
    </row>
    <row r="22" customFormat="false" ht="15" hidden="false" customHeight="true" outlineLevel="0" collapsed="false">
      <c r="A22" s="24" t="s">
        <v>236</v>
      </c>
      <c r="C22" s="57" t="n">
        <f aca="false">(C19+$C$14*C18)*C5/1024</f>
        <v>0.001944580078125</v>
      </c>
      <c r="D22" s="57" t="n">
        <f aca="false">(D19+$C$14*D18)*D5/1024</f>
        <v>0.00704498291015625</v>
      </c>
      <c r="E22" s="57" t="n">
        <f aca="false">(E19+$C$14*E18)*E5/1024</f>
        <v>0.046966552734375</v>
      </c>
      <c r="F22" s="57" t="n">
        <f aca="false">(F19+$C$14*F18)*F5/1024</f>
        <v>0.43670654296875</v>
      </c>
      <c r="G22" s="57" t="n">
        <f aca="false">(G19+$C$14*G18)*G5/1024</f>
        <v>1.78472900390625</v>
      </c>
      <c r="H22" s="57" t="n">
        <f aca="false">(H19+$C$14*H18)*H5/1024</f>
        <v>4.16107177734375</v>
      </c>
      <c r="J22" s="11" t="s">
        <v>237</v>
      </c>
    </row>
    <row r="23" customFormat="false" ht="15" hidden="false" customHeight="true" outlineLevel="0" collapsed="false">
      <c r="A23" s="8" t="s">
        <v>238</v>
      </c>
      <c r="C23" s="58" t="n">
        <f aca="false">Modele!C9*$C$15</f>
        <v>1.40606594085693</v>
      </c>
      <c r="D23" s="58" t="n">
        <f aca="false">Modele!D9*$C$15</f>
        <v>1.40606594085693</v>
      </c>
      <c r="E23" s="58" t="n">
        <f aca="false">Modele!E9*$C$15</f>
        <v>1.40606594085693</v>
      </c>
      <c r="F23" s="58" t="n">
        <f aca="false">Modele!F9*$C$15</f>
        <v>1.40606594085693</v>
      </c>
      <c r="G23" s="58" t="n">
        <f aca="false">Modele!G9*$C$15</f>
        <v>1.40606594085693</v>
      </c>
      <c r="H23" s="58" t="n">
        <f aca="false">Modele!H9*$C$15</f>
        <v>1.40606594085693</v>
      </c>
    </row>
    <row r="24" customFormat="false" ht="15" hidden="false" customHeight="true" outlineLevel="0" collapsed="false">
      <c r="A24" s="24" t="s">
        <v>239</v>
      </c>
      <c r="C24" s="30" t="n">
        <f aca="false">C22/C23</f>
        <v>0.00138299351518313</v>
      </c>
      <c r="D24" s="30" t="n">
        <f aca="false">D22/D23</f>
        <v>0.00501042142153209</v>
      </c>
      <c r="E24" s="30" t="n">
        <f aca="false">E22/E23</f>
        <v>0.0334028094768806</v>
      </c>
      <c r="F24" s="30" t="n">
        <f aca="false">F22/F23</f>
        <v>0.310587526714855</v>
      </c>
      <c r="G24" s="30" t="n">
        <f aca="false">G22/G23</f>
        <v>1.26930676012146</v>
      </c>
      <c r="H24" s="30" t="n">
        <f aca="false">H22/H23</f>
        <v>2.95937171681135</v>
      </c>
    </row>
    <row r="25" customFormat="false" ht="15" hidden="false" customHeight="true" outlineLevel="0" collapsed="false">
      <c r="A25" s="8" t="s">
        <v>240</v>
      </c>
      <c r="C25" s="55" t="str">
        <f aca="false">IF(C24&gt;=1,"⛔ SATURÉ",IF(C24&gt;=0.8,"⚠ proche","✓ ok"))</f>
        <v>✓ ok</v>
      </c>
      <c r="D25" s="55" t="str">
        <f aca="false">IF(D24&gt;=1,"⛔ SATURÉ",IF(D24&gt;=0.8,"⚠ proche","✓ ok"))</f>
        <v>✓ ok</v>
      </c>
      <c r="E25" s="55" t="str">
        <f aca="false">IF(E24&gt;=1,"⛔ SATURÉ",IF(E24&gt;=0.8,"⚠ proche","✓ ok"))</f>
        <v>✓ ok</v>
      </c>
      <c r="F25" s="55" t="str">
        <f aca="false">IF(F24&gt;=1,"⛔ SATURÉ",IF(F24&gt;=0.8,"⚠ proche","✓ ok"))</f>
        <v>✓ ok</v>
      </c>
      <c r="G25" s="55" t="str">
        <f aca="false">IF(G24&gt;=1,"⛔ SATURÉ",IF(G24&gt;=0.8,"⚠ proche","✓ ok"))</f>
        <v>⛔ SATURÉ</v>
      </c>
      <c r="H25" s="55" t="str">
        <f aca="false">IF(H24&gt;=1,"⛔ SATURÉ",IF(H24&gt;=0.8,"⚠ proche","✓ ok"))</f>
        <v>⛔ SATURÉ</v>
      </c>
    </row>
    <row r="27" customFormat="false" ht="15" hidden="false" customHeight="true" outlineLevel="0" collapsed="false">
      <c r="A27" s="21" t="s">
        <v>241</v>
      </c>
      <c r="B27" s="22"/>
      <c r="C27" s="52"/>
      <c r="D27" s="52"/>
      <c r="E27" s="52"/>
      <c r="F27" s="52"/>
      <c r="G27" s="52"/>
      <c r="H27" s="52"/>
    </row>
    <row r="28" customFormat="false" ht="53.25" hidden="false" customHeight="true" outlineLevel="0" collapsed="false">
      <c r="A28" s="59" t="s">
        <v>242</v>
      </c>
      <c r="C28" s="14" t="n">
        <v>1</v>
      </c>
      <c r="D28" s="9"/>
      <c r="E28" s="9"/>
      <c r="F28" s="9"/>
      <c r="G28" s="9"/>
      <c r="H28" s="9"/>
      <c r="J28" s="11" t="s">
        <v>243</v>
      </c>
    </row>
    <row r="29" customFormat="false" ht="15" hidden="false" customHeight="true" outlineLevel="0" collapsed="false">
      <c r="A29" s="8" t="s">
        <v>244</v>
      </c>
      <c r="C29" s="39" t="n">
        <v>0</v>
      </c>
      <c r="D29" s="39" t="n">
        <v>0</v>
      </c>
      <c r="E29" s="39" t="n">
        <v>0</v>
      </c>
      <c r="F29" s="39" t="n">
        <v>0.05</v>
      </c>
      <c r="G29" s="39" t="n">
        <v>0.15</v>
      </c>
      <c r="H29" s="39" t="n">
        <v>0.3</v>
      </c>
      <c r="J29" s="11" t="s">
        <v>245</v>
      </c>
    </row>
    <row r="30" customFormat="false" ht="15" hidden="false" customHeight="true" outlineLevel="0" collapsed="false">
      <c r="A30" s="8" t="s">
        <v>246</v>
      </c>
      <c r="C30" s="14" t="n">
        <v>5</v>
      </c>
      <c r="D30" s="9"/>
      <c r="E30" s="9"/>
      <c r="F30" s="9"/>
      <c r="G30" s="9"/>
      <c r="H30" s="9"/>
      <c r="J30" s="11" t="s">
        <v>247</v>
      </c>
    </row>
    <row r="31" customFormat="false" ht="15" hidden="false" customHeight="true" outlineLevel="0" collapsed="false">
      <c r="A31" s="8" t="s">
        <v>248</v>
      </c>
      <c r="C31" s="14" t="n">
        <v>4</v>
      </c>
      <c r="D31" s="9"/>
      <c r="E31" s="9"/>
      <c r="F31" s="9"/>
      <c r="G31" s="9"/>
      <c r="H31" s="9"/>
      <c r="J31" s="11" t="s">
        <v>249</v>
      </c>
    </row>
    <row r="32" customFormat="false" ht="15" hidden="false" customHeight="true" outlineLevel="0" collapsed="false">
      <c r="A32" s="8" t="s">
        <v>250</v>
      </c>
      <c r="C32" s="60" t="n">
        <v>0.05</v>
      </c>
      <c r="D32" s="60"/>
      <c r="E32" s="60"/>
      <c r="F32" s="60"/>
      <c r="G32" s="60"/>
      <c r="H32" s="60"/>
    </row>
    <row r="33" customFormat="false" ht="15" hidden="false" customHeight="true" outlineLevel="0" collapsed="false">
      <c r="A33" s="8" t="s">
        <v>251</v>
      </c>
      <c r="C33" s="14" t="n">
        <v>12</v>
      </c>
      <c r="D33" s="9"/>
      <c r="E33" s="9"/>
      <c r="F33" s="9"/>
      <c r="G33" s="9"/>
      <c r="H33" s="9"/>
      <c r="J33" s="11" t="s">
        <v>252</v>
      </c>
    </row>
    <row r="34" customFormat="false" ht="15" hidden="false" customHeight="true" outlineLevel="0" collapsed="false">
      <c r="A34" s="8" t="s">
        <v>253</v>
      </c>
      <c r="C34" s="15" t="n">
        <v>0.05</v>
      </c>
      <c r="D34" s="15"/>
      <c r="E34" s="15"/>
      <c r="F34" s="15"/>
      <c r="G34" s="15"/>
      <c r="H34" s="15"/>
      <c r="J34" s="11" t="s">
        <v>254</v>
      </c>
    </row>
    <row r="35" customFormat="false" ht="15" hidden="false" customHeight="true" outlineLevel="0" collapsed="false">
      <c r="A35" s="21" t="s">
        <v>255</v>
      </c>
      <c r="B35" s="22"/>
      <c r="C35" s="52"/>
      <c r="D35" s="52"/>
      <c r="E35" s="52"/>
      <c r="F35" s="52"/>
      <c r="G35" s="52"/>
      <c r="H35" s="52"/>
    </row>
    <row r="36" customFormat="false" ht="15" hidden="false" customHeight="true" outlineLevel="0" collapsed="false">
      <c r="A36" s="8" t="s">
        <v>256</v>
      </c>
      <c r="C36" s="55" t="n">
        <f aca="false">$C$30*$C$31*730*$C$33</f>
        <v>175200</v>
      </c>
      <c r="D36" s="55" t="n">
        <f aca="false">$C$30*$C$31*730*$C$33</f>
        <v>175200</v>
      </c>
      <c r="E36" s="55" t="n">
        <f aca="false">$C$30*$C$31*730*$C$33</f>
        <v>175200</v>
      </c>
      <c r="F36" s="55" t="n">
        <f aca="false">$C$30*$C$31*730*$C$33</f>
        <v>175200</v>
      </c>
      <c r="G36" s="55" t="n">
        <f aca="false">$C$30*$C$31*730*$C$33</f>
        <v>175200</v>
      </c>
      <c r="H36" s="55" t="n">
        <f aca="false">$C$30*$C$31*730*$C$33</f>
        <v>175200</v>
      </c>
      <c r="J36" s="11" t="s">
        <v>257</v>
      </c>
    </row>
    <row r="37" customFormat="false" ht="15" hidden="false" customHeight="true" outlineLevel="0" collapsed="false">
      <c r="A37" s="8" t="s">
        <v>258</v>
      </c>
      <c r="C37" s="55" t="n">
        <f aca="false">C5*C29*$C$28</f>
        <v>0</v>
      </c>
      <c r="D37" s="55" t="n">
        <f aca="false">D5*D29*$C$28</f>
        <v>0</v>
      </c>
      <c r="E37" s="55" t="n">
        <f aca="false">E5*E29*$C$28</f>
        <v>0</v>
      </c>
      <c r="F37" s="55" t="n">
        <f aca="false">F5*F29*$C$28</f>
        <v>20</v>
      </c>
      <c r="G37" s="55" t="n">
        <f aca="false">G5*G29*$C$28</f>
        <v>180</v>
      </c>
      <c r="H37" s="55" t="n">
        <f aca="false">H5*H29*$C$28</f>
        <v>600</v>
      </c>
    </row>
    <row r="38" customFormat="false" ht="15" hidden="false" customHeight="true" outlineLevel="0" collapsed="false">
      <c r="A38" s="24" t="s">
        <v>259</v>
      </c>
      <c r="C38" s="57" t="n">
        <f aca="false">C36*$C$32/1024*C37/1024</f>
        <v>0</v>
      </c>
      <c r="D38" s="57" t="n">
        <f aca="false">D36*$C$32/1024*D37/1024</f>
        <v>0</v>
      </c>
      <c r="E38" s="57" t="n">
        <f aca="false">E36*$C$32/1024*E37/1024</f>
        <v>0</v>
      </c>
      <c r="F38" s="57" t="n">
        <f aca="false">F36*$C$32/1024*F37/1024</f>
        <v>0.167083740234375</v>
      </c>
      <c r="G38" s="57" t="n">
        <f aca="false">G36*$C$32/1024*G37/1024</f>
        <v>1.50375366210938</v>
      </c>
      <c r="H38" s="57" t="n">
        <f aca="false">H36*$C$32/1024*H37/1024</f>
        <v>5.01251220703125</v>
      </c>
    </row>
    <row r="39" customFormat="false" ht="15" hidden="false" customHeight="true" outlineLevel="0" collapsed="false">
      <c r="A39" s="8" t="s">
        <v>260</v>
      </c>
      <c r="C39" s="56" t="n">
        <f aca="false">($C$34+($C$13-1))*C38</f>
        <v>0</v>
      </c>
      <c r="D39" s="56" t="n">
        <f aca="false">($C$34+($C$13-1))*D38</f>
        <v>0</v>
      </c>
      <c r="E39" s="56" t="n">
        <f aca="false">($C$34+($C$13-1))*E38</f>
        <v>0</v>
      </c>
      <c r="F39" s="56" t="n">
        <f aca="false">($C$34+($C$13-1))*F38</f>
        <v>0.108604431152344</v>
      </c>
      <c r="G39" s="56" t="n">
        <f aca="false">($C$34+($C$13-1))*G38</f>
        <v>0.977439880371094</v>
      </c>
      <c r="H39" s="56" t="n">
        <f aca="false">($C$34+($C$13-1))*H38</f>
        <v>3.25813293457031</v>
      </c>
      <c r="J39" s="11" t="s">
        <v>261</v>
      </c>
    </row>
    <row r="40" customFormat="false" ht="15" hidden="false" customHeight="true" outlineLevel="0" collapsed="false">
      <c r="A40" s="61" t="s">
        <v>262</v>
      </c>
      <c r="B40" s="62"/>
      <c r="C40" s="63"/>
      <c r="D40" s="63"/>
      <c r="E40" s="63"/>
      <c r="F40" s="63"/>
      <c r="G40" s="63"/>
      <c r="H40" s="63"/>
    </row>
    <row r="41" customFormat="false" ht="15" hidden="false" customHeight="true" outlineLevel="0" collapsed="false">
      <c r="A41" s="24" t="s">
        <v>263</v>
      </c>
      <c r="C41" s="57" t="n">
        <f aca="false">C22+C39</f>
        <v>0.001944580078125</v>
      </c>
      <c r="D41" s="57" t="n">
        <f aca="false">D22+D39</f>
        <v>0.00704498291015625</v>
      </c>
      <c r="E41" s="57" t="n">
        <f aca="false">E22+E39</f>
        <v>0.046966552734375</v>
      </c>
      <c r="F41" s="57" t="n">
        <f aca="false">F22+F39</f>
        <v>0.545310974121094</v>
      </c>
      <c r="G41" s="57" t="n">
        <f aca="false">G22+G39</f>
        <v>2.76216888427734</v>
      </c>
      <c r="H41" s="57" t="n">
        <f aca="false">H22+H39</f>
        <v>7.41920471191406</v>
      </c>
      <c r="J41" s="11" t="s">
        <v>264</v>
      </c>
    </row>
    <row r="42" customFormat="false" ht="15" hidden="false" customHeight="true" outlineLevel="0" collapsed="false">
      <c r="A42" s="24" t="s">
        <v>265</v>
      </c>
      <c r="C42" s="30" t="n">
        <f aca="false">C41/C23</f>
        <v>0.00138299351518313</v>
      </c>
      <c r="D42" s="30" t="n">
        <f aca="false">D41/D23</f>
        <v>0.00501042142153209</v>
      </c>
      <c r="E42" s="30" t="n">
        <f aca="false">E41/E23</f>
        <v>0.0334028094768806</v>
      </c>
      <c r="F42" s="30" t="n">
        <f aca="false">F41/F23</f>
        <v>0.387827454087076</v>
      </c>
      <c r="G42" s="30" t="n">
        <f aca="false">G41/G23</f>
        <v>1.96446610647146</v>
      </c>
      <c r="H42" s="30" t="n">
        <f aca="false">H41/H23</f>
        <v>5.276569537978</v>
      </c>
    </row>
    <row r="43" customFormat="false" ht="15" hidden="false" customHeight="true" outlineLevel="0" collapsed="false">
      <c r="A43" s="8" t="s">
        <v>266</v>
      </c>
      <c r="C43" s="55" t="str">
        <f aca="false">IF(C42&gt;=1,"⛔ SATURÉ",IF(C42&gt;=0.8,"⚠ proche","✓ ok"))</f>
        <v>✓ ok</v>
      </c>
      <c r="D43" s="55" t="str">
        <f aca="false">IF(D42&gt;=1,"⛔ SATURÉ",IF(D42&gt;=0.8,"⚠ proche","✓ ok"))</f>
        <v>✓ ok</v>
      </c>
      <c r="E43" s="55" t="str">
        <f aca="false">IF(E42&gt;=1,"⛔ SATURÉ",IF(E42&gt;=0.8,"⚠ proche","✓ ok"))</f>
        <v>✓ ok</v>
      </c>
      <c r="F43" s="55" t="str">
        <f aca="false">IF(F42&gt;=1,"⛔ SATURÉ",IF(F42&gt;=0.8,"⚠ proche","✓ ok"))</f>
        <v>✓ ok</v>
      </c>
      <c r="G43" s="55" t="str">
        <f aca="false">IF(G42&gt;=1,"⛔ SATURÉ",IF(G42&gt;=0.8,"⚠ proche","✓ ok"))</f>
        <v>⛔ SATURÉ</v>
      </c>
      <c r="H43" s="55" t="str">
        <f aca="false">IF(H42&gt;=1,"⛔ SATURÉ",IF(H42&gt;=0.8,"⚠ proche","✓ ok"))</f>
        <v>⛔ SATURÉ</v>
      </c>
    </row>
    <row r="45" customFormat="false" ht="15" hidden="false" customHeight="true" outlineLevel="0" collapsed="false">
      <c r="A45" s="24" t="s">
        <v>267</v>
      </c>
    </row>
    <row r="46" customFormat="false" ht="15" hidden="false" customHeight="true" outlineLevel="0" collapsed="false">
      <c r="A46" s="64" t="s">
        <v>268</v>
      </c>
      <c r="B46" s="64"/>
      <c r="C46" s="64"/>
      <c r="D46" s="64"/>
      <c r="E46" s="64"/>
      <c r="F46" s="64"/>
      <c r="G46" s="64"/>
      <c r="H46" s="64"/>
    </row>
    <row r="47" customFormat="false" ht="15" hidden="false" customHeight="true" outlineLevel="0" collapsed="false">
      <c r="A47" s="64"/>
      <c r="B47" s="64"/>
      <c r="C47" s="64"/>
      <c r="D47" s="64"/>
      <c r="E47" s="64"/>
      <c r="F47" s="64"/>
      <c r="G47" s="64"/>
      <c r="H47" s="64"/>
    </row>
  </sheetData>
  <mergeCells count="1">
    <mergeCell ref="A46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58"/>
  </cols>
  <sheetData>
    <row r="1" customFormat="false" ht="15.75" hidden="false" customHeight="true" outlineLevel="0" collapsed="false">
      <c r="A1" s="5" t="s">
        <v>269</v>
      </c>
    </row>
    <row r="2" customFormat="false" ht="15" hidden="false" customHeight="true" outlineLevel="0" collapsed="false">
      <c r="A2" s="11" t="s">
        <v>270</v>
      </c>
    </row>
    <row r="4" customFormat="false" ht="15" hidden="false" customHeight="true" outlineLevel="0" collapsed="false">
      <c r="A4" s="6" t="s">
        <v>271</v>
      </c>
      <c r="B4" s="7"/>
      <c r="C4" s="7"/>
      <c r="D4" s="7"/>
    </row>
    <row r="5" customFormat="false" ht="15" hidden="false" customHeight="true" outlineLevel="0" collapsed="false">
      <c r="A5" s="8" t="s">
        <v>272</v>
      </c>
      <c r="B5" s="14" t="n">
        <v>1</v>
      </c>
      <c r="C5" s="10"/>
      <c r="D5" s="24" t="str">
        <f aca="false">CHOOSE(B5,"Compose","K3s","K8s managé")</f>
        <v>Compose</v>
      </c>
    </row>
    <row r="6" customFormat="false" ht="15" hidden="false" customHeight="true" outlineLevel="0" collapsed="false">
      <c r="A6" s="6" t="s">
        <v>273</v>
      </c>
      <c r="B6" s="7"/>
      <c r="C6" s="7"/>
      <c r="D6" s="7"/>
    </row>
    <row r="7" customFormat="false" ht="15" hidden="false" customHeight="true" outlineLevel="0" collapsed="false">
      <c r="A7" s="8" t="s">
        <v>274</v>
      </c>
      <c r="B7" s="14" t="n">
        <v>2048</v>
      </c>
      <c r="C7" s="10" t="s">
        <v>275</v>
      </c>
      <c r="D7" s="11" t="s">
        <v>276</v>
      </c>
    </row>
    <row r="8" customFormat="false" ht="15" hidden="false" customHeight="true" outlineLevel="0" collapsed="false">
      <c r="A8" s="8" t="s">
        <v>277</v>
      </c>
      <c r="B8" s="9" t="n">
        <v>300</v>
      </c>
      <c r="C8" s="10" t="s">
        <v>275</v>
      </c>
      <c r="D8" s="11" t="s">
        <v>278</v>
      </c>
    </row>
    <row r="9" customFormat="false" ht="15" hidden="false" customHeight="true" outlineLevel="0" collapsed="false">
      <c r="A9" s="8" t="s">
        <v>279</v>
      </c>
      <c r="B9" s="55" t="n">
        <f aca="false">CHOOSE(B5,0,700,400)</f>
        <v>0</v>
      </c>
      <c r="C9" s="10" t="s">
        <v>275</v>
      </c>
      <c r="D9" s="11" t="s">
        <v>280</v>
      </c>
    </row>
    <row r="10" customFormat="false" ht="15" hidden="false" customHeight="true" outlineLevel="0" collapsed="false">
      <c r="A10" s="8" t="s">
        <v>281</v>
      </c>
      <c r="B10" s="55" t="n">
        <f aca="false">IF(B5=2,0,70)</f>
        <v>70</v>
      </c>
      <c r="C10" s="10" t="s">
        <v>275</v>
      </c>
      <c r="D10" s="11" t="s">
        <v>282</v>
      </c>
    </row>
    <row r="11" customFormat="false" ht="15" hidden="false" customHeight="true" outlineLevel="0" collapsed="false">
      <c r="A11" s="8" t="s">
        <v>283</v>
      </c>
      <c r="B11" s="14" t="n">
        <v>130</v>
      </c>
      <c r="C11" s="10" t="s">
        <v>275</v>
      </c>
      <c r="D11" s="11" t="s">
        <v>284</v>
      </c>
    </row>
    <row r="12" customFormat="false" ht="15" hidden="false" customHeight="true" outlineLevel="0" collapsed="false">
      <c r="A12" s="8" t="s">
        <v>285</v>
      </c>
      <c r="B12" s="9" t="n">
        <v>559</v>
      </c>
      <c r="C12" s="10"/>
      <c r="D12" s="11" t="s">
        <v>286</v>
      </c>
    </row>
    <row r="13" customFormat="false" ht="15" hidden="false" customHeight="true" outlineLevel="0" collapsed="false">
      <c r="A13" s="8" t="s">
        <v>287</v>
      </c>
      <c r="B13" s="9" t="n">
        <v>15</v>
      </c>
      <c r="C13" s="10" t="s">
        <v>288</v>
      </c>
      <c r="D13" s="11" t="s">
        <v>289</v>
      </c>
    </row>
    <row r="14" customFormat="false" ht="15" hidden="false" customHeight="true" outlineLevel="0" collapsed="false">
      <c r="A14" s="8" t="s">
        <v>290</v>
      </c>
      <c r="B14" s="55" t="n">
        <f aca="false">B12*B13/1024</f>
        <v>8.1884765625</v>
      </c>
      <c r="C14" s="10" t="s">
        <v>275</v>
      </c>
      <c r="D14" s="11" t="s">
        <v>291</v>
      </c>
    </row>
    <row r="15" customFormat="false" ht="15" hidden="false" customHeight="true" outlineLevel="0" collapsed="false">
      <c r="A15" s="8" t="s">
        <v>292</v>
      </c>
      <c r="B15" s="14" t="n">
        <v>0</v>
      </c>
      <c r="C15" s="10"/>
      <c r="D15" s="11" t="s">
        <v>293</v>
      </c>
    </row>
    <row r="16" customFormat="false" ht="15" hidden="false" customHeight="true" outlineLevel="0" collapsed="false">
      <c r="A16" s="8" t="s">
        <v>294</v>
      </c>
      <c r="B16" s="55" t="n">
        <f aca="false">B15*200</f>
        <v>0</v>
      </c>
      <c r="C16" s="10" t="s">
        <v>275</v>
      </c>
    </row>
    <row r="17" customFormat="false" ht="15" hidden="false" customHeight="true" outlineLevel="0" collapsed="false">
      <c r="A17" s="8" t="s">
        <v>295</v>
      </c>
      <c r="B17" s="14" t="n">
        <v>0</v>
      </c>
      <c r="C17" s="10"/>
      <c r="D17" s="11" t="s">
        <v>296</v>
      </c>
    </row>
    <row r="18" customFormat="false" ht="15" hidden="false" customHeight="true" outlineLevel="0" collapsed="false">
      <c r="A18" s="8" t="s">
        <v>297</v>
      </c>
      <c r="B18" s="9" t="n">
        <v>100</v>
      </c>
      <c r="C18" s="10" t="s">
        <v>275</v>
      </c>
      <c r="D18" s="11" t="s">
        <v>298</v>
      </c>
    </row>
    <row r="19" customFormat="false" ht="15" hidden="false" customHeight="true" outlineLevel="0" collapsed="false">
      <c r="A19" s="8" t="s">
        <v>299</v>
      </c>
      <c r="B19" s="55" t="n">
        <f aca="false">B17*B18</f>
        <v>0</v>
      </c>
      <c r="C19" s="10" t="s">
        <v>275</v>
      </c>
    </row>
    <row r="20" customFormat="false" ht="15" hidden="false" customHeight="true" outlineLevel="0" collapsed="false">
      <c r="A20" s="8" t="s">
        <v>300</v>
      </c>
      <c r="B20" s="9" t="n">
        <v>100</v>
      </c>
      <c r="C20" s="10" t="s">
        <v>275</v>
      </c>
    </row>
    <row r="21" customFormat="false" ht="15" hidden="false" customHeight="true" outlineLevel="0" collapsed="false">
      <c r="A21" s="8" t="s">
        <v>301</v>
      </c>
      <c r="B21" s="52" t="n">
        <f aca="false">B7-(B8+B9+B10+B11+B14+B16+B19+B20)</f>
        <v>1439.8115234375</v>
      </c>
      <c r="C21" s="10" t="s">
        <v>275</v>
      </c>
      <c r="D21" s="11" t="s">
        <v>302</v>
      </c>
    </row>
    <row r="22" customFormat="false" ht="15" hidden="false" customHeight="true" outlineLevel="0" collapsed="false">
      <c r="A22" s="8" t="s">
        <v>303</v>
      </c>
      <c r="B22" s="65" t="n">
        <f aca="false">B21/1024</f>
        <v>1.40606594085693</v>
      </c>
      <c r="C22" s="10" t="s">
        <v>304</v>
      </c>
      <c r="D22" s="11" t="s">
        <v>305</v>
      </c>
    </row>
    <row r="23" customFormat="false" ht="15" hidden="false" customHeight="true" outlineLevel="0" collapsed="false">
      <c r="A23" s="6" t="s">
        <v>306</v>
      </c>
      <c r="B23" s="7"/>
      <c r="C23" s="7"/>
      <c r="D23" s="7"/>
    </row>
    <row r="24" customFormat="false" ht="15" hidden="false" customHeight="true" outlineLevel="0" collapsed="false">
      <c r="A24" s="8" t="s">
        <v>307</v>
      </c>
      <c r="B24" s="9" t="n">
        <v>80</v>
      </c>
      <c r="C24" s="10" t="s">
        <v>275</v>
      </c>
    </row>
    <row r="25" customFormat="false" ht="15" hidden="false" customHeight="true" outlineLevel="0" collapsed="false">
      <c r="A25" s="8" t="s">
        <v>308</v>
      </c>
      <c r="B25" s="9" t="n">
        <v>20</v>
      </c>
      <c r="C25" s="10" t="s">
        <v>288</v>
      </c>
      <c r="D25" s="11" t="s">
        <v>309</v>
      </c>
    </row>
    <row r="26" customFormat="false" ht="15" hidden="false" customHeight="true" outlineLevel="0" collapsed="false">
      <c r="A26" s="8" t="s">
        <v>310</v>
      </c>
      <c r="B26" s="66" t="n">
        <f aca="false">B24+B12*B25/1024</f>
        <v>90.91796875</v>
      </c>
      <c r="C26" s="10" t="s">
        <v>275</v>
      </c>
      <c r="D26" s="11" t="s">
        <v>311</v>
      </c>
    </row>
    <row r="27" customFormat="false" ht="15" hidden="false" customHeight="true" outlineLevel="0" collapsed="false">
      <c r="A27" s="11" t="s">
        <v>312</v>
      </c>
    </row>
    <row r="28" customFormat="false" ht="15" hidden="false" customHeight="true" outlineLevel="0" collapsed="false">
      <c r="A28" s="6" t="s">
        <v>313</v>
      </c>
      <c r="B28" s="7"/>
      <c r="C28" s="7"/>
      <c r="D28" s="7"/>
    </row>
    <row r="29" customFormat="false" ht="15" hidden="false" customHeight="true" outlineLevel="0" collapsed="false">
      <c r="A29" s="8" t="s">
        <v>314</v>
      </c>
      <c r="B29" s="14" t="n">
        <v>0</v>
      </c>
      <c r="C29" s="10"/>
      <c r="D29" s="11" t="s">
        <v>315</v>
      </c>
    </row>
    <row r="30" customFormat="false" ht="15" hidden="false" customHeight="true" outlineLevel="0" collapsed="false">
      <c r="A30" s="8" t="s">
        <v>316</v>
      </c>
      <c r="B30" s="67" t="n">
        <f aca="false">'Schema-Empreinte'!H41</f>
        <v>7.41920471191406</v>
      </c>
    </row>
    <row r="31" customFormat="false" ht="15" hidden="false" customHeight="true" outlineLevel="0" collapsed="false">
      <c r="A31" s="8" t="s">
        <v>317</v>
      </c>
      <c r="B31" s="67" t="n">
        <f aca="false">'Schema-Empreinte'!H22</f>
        <v>4.16107177734375</v>
      </c>
    </row>
    <row r="32" customFormat="false" ht="15" hidden="false" customHeight="true" outlineLevel="0" collapsed="false">
      <c r="A32" s="24" t="s">
        <v>318</v>
      </c>
      <c r="B32" s="68" t="n">
        <f aca="false">IF(B29=1,B31,B30)</f>
        <v>7.41920471191406</v>
      </c>
    </row>
    <row r="34" customFormat="false" ht="15" hidden="false" customHeight="true" outlineLevel="0" collapsed="false">
      <c r="A34" s="64" t="s">
        <v>319</v>
      </c>
      <c r="B34" s="64"/>
      <c r="C34" s="64"/>
      <c r="D34" s="64"/>
    </row>
    <row r="35" customFormat="false" ht="15" hidden="false" customHeight="true" outlineLevel="0" collapsed="false">
      <c r="A35" s="64"/>
      <c r="B35" s="64"/>
      <c r="C35" s="64"/>
      <c r="D35" s="64"/>
    </row>
    <row r="37" customFormat="false" ht="15" hidden="false" customHeight="true" outlineLevel="0" collapsed="false">
      <c r="A37" s="6" t="s">
        <v>320</v>
      </c>
      <c r="B37" s="7"/>
      <c r="C37" s="7"/>
      <c r="D37" s="7"/>
    </row>
    <row r="38" customFormat="false" ht="15" hidden="false" customHeight="true" outlineLevel="0" collapsed="false">
      <c r="A38" s="8" t="s">
        <v>321</v>
      </c>
      <c r="B38" s="69" t="n">
        <v>0.55</v>
      </c>
      <c r="C38" s="10" t="s">
        <v>38</v>
      </c>
      <c r="D38" s="11" t="s">
        <v>322</v>
      </c>
    </row>
    <row r="39" customFormat="false" ht="15" hidden="false" customHeight="true" outlineLevel="0" collapsed="false">
      <c r="A39" s="8" t="s">
        <v>323</v>
      </c>
      <c r="B39" s="60" t="n">
        <v>1</v>
      </c>
      <c r="C39" s="10" t="s">
        <v>38</v>
      </c>
      <c r="D39" s="11" t="s">
        <v>324</v>
      </c>
    </row>
    <row r="40" customFormat="false" ht="15" hidden="false" customHeight="true" outlineLevel="0" collapsed="false">
      <c r="A40" s="8" t="s">
        <v>325</v>
      </c>
      <c r="B40" s="9" t="n">
        <v>2</v>
      </c>
      <c r="C40" s="10" t="s">
        <v>38</v>
      </c>
      <c r="D40" s="11" t="s">
        <v>326</v>
      </c>
    </row>
    <row r="41" customFormat="false" ht="15" hidden="false" customHeight="true" outlineLevel="0" collapsed="false">
      <c r="A41" s="8" t="s">
        <v>327</v>
      </c>
      <c r="B41" s="9" t="n">
        <v>2</v>
      </c>
      <c r="C41" s="10" t="s">
        <v>38</v>
      </c>
      <c r="D41" s="11" t="s">
        <v>328</v>
      </c>
    </row>
    <row r="42" customFormat="false" ht="15" hidden="false" customHeight="true" outlineLevel="0" collapsed="false">
      <c r="A42" s="8" t="s">
        <v>329</v>
      </c>
      <c r="B42" s="60" t="n">
        <v>0</v>
      </c>
      <c r="C42" s="10" t="s">
        <v>22</v>
      </c>
      <c r="D42" s="11" t="s">
        <v>330</v>
      </c>
    </row>
    <row r="43" customFormat="false" ht="15" hidden="false" customHeight="true" outlineLevel="0" collapsed="false">
      <c r="A43" s="8" t="s">
        <v>331</v>
      </c>
      <c r="B43" s="69" t="n">
        <v>41</v>
      </c>
      <c r="C43" s="10" t="s">
        <v>22</v>
      </c>
      <c r="D43" s="11" t="s">
        <v>332</v>
      </c>
    </row>
    <row r="44" customFormat="false" ht="15" hidden="false" customHeight="true" outlineLevel="0" collapsed="false">
      <c r="A44" s="8" t="s">
        <v>333</v>
      </c>
      <c r="B44" s="60" t="n">
        <v>2</v>
      </c>
      <c r="C44" s="10" t="s">
        <v>38</v>
      </c>
      <c r="D44" s="11" t="s">
        <v>39</v>
      </c>
    </row>
  </sheetData>
  <mergeCells count="1">
    <mergeCell ref="A34:D35"/>
  </mergeCells>
  <dataValidations count="1">
    <dataValidation allowBlank="false" errorStyle="stop" operator="between" showDropDown="false" showErrorMessage="false" showInputMessage="false" sqref="B5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2026-06-20T04:14:19Z</dcterms:created>
  <dc:creator>openpyxl</dc:creator>
  <dc:description/>
  <dc:language>en-US</dc:language>
  <cp:lastModifiedBy/>
  <dcterms:modified xsi:type="dcterms:W3CDTF">2026-06-20T05:47:20Z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